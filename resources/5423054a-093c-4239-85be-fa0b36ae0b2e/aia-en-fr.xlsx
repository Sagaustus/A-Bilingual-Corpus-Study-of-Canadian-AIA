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othomps\Downloads\"/>
    </mc:Choice>
  </mc:AlternateContent>
  <bookViews>
    <workbookView xWindow="0" yWindow="0" windowWidth="25200" windowHeight="11385" activeTab="1"/>
  </bookViews>
  <sheets>
    <sheet name="Final Draft Questionnaire" sheetId="1" r:id="rId1"/>
    <sheet name="Final Draft Questionnaire FR" sheetId="2" r:id="rId2"/>
    <sheet name="Final MASTER SCORE" sheetId="3" r:id="rId3"/>
  </sheets>
  <definedNames>
    <definedName name="FROPTcontroldata">'Final MASTER SCORE'!$B$19:$B$22</definedName>
    <definedName name="FROPTduration">'Final MASTER SCORE'!$B$6:$B$9</definedName>
    <definedName name="FROPTimpact">'Final MASTER SCORE'!$B$10:$B$13</definedName>
    <definedName name="FROPTreversible">'Final MASTER SCORE'!$B$2:$B$5</definedName>
    <definedName name="FROPTsecurityclass">'Final MASTER SCORE'!$B$14:$B$18</definedName>
    <definedName name="FROPTsourcedata">'Final MASTER SCORE'!$B$23:$B$26</definedName>
    <definedName name="FROPTunstructdata">'Final MASTER SCORE'!$B$27:$B$28</definedName>
    <definedName name="OPTcontroldata">'Final MASTER SCORE'!$A$19:$A$22</definedName>
    <definedName name="OPTduration">'Final MASTER SCORE'!$A$6:$A$9</definedName>
    <definedName name="OPTimpact">'Final MASTER SCORE'!$A$10:$A$13</definedName>
    <definedName name="OPTreversible">'Final MASTER SCORE'!$A$2:$A$5</definedName>
    <definedName name="OPTsecurityclass">'Final MASTER SCORE'!$A$14:$A$18</definedName>
    <definedName name="OPTsourcedata">'Final MASTER SCORE'!$A$23:$A$26</definedName>
    <definedName name="OPTunstructdata">'Final MASTER SCORE'!$A$27:$A$28</definedName>
    <definedName name="PNTcontroldata">'Final MASTER SCORE'!$C$19:$C$22</definedName>
    <definedName name="PNTduration">'Final MASTER SCORE'!$C$6:$C$9</definedName>
    <definedName name="PNTimpact">'Final MASTER SCORE'!$C$10:$C$13</definedName>
    <definedName name="PNTmaxMitigation">'Final MASTER SCORE'!$C$34</definedName>
    <definedName name="PNTreversible">'Final MASTER SCORE'!$C$2:$C$5</definedName>
    <definedName name="PNTsecurityclass">'Final MASTER SCORE'!$C$14:$C$18</definedName>
    <definedName name="PNTsourcedata">'Final MASTER SCORE'!$C$23:$C$26</definedName>
    <definedName name="PNTthresholdMitigation">'Final MASTER SCORE'!$C$33</definedName>
    <definedName name="PNTunstructdata">'Final MASTER SCORE'!$C$27:$C$28</definedName>
    <definedName name="PNTYes1">'Final MASTER SCORE'!$C$29</definedName>
    <definedName name="PNTYes2">'Final MASTER SCORE'!$C$30</definedName>
    <definedName name="PNTYes3">'Final MASTER SCORE'!$C$31</definedName>
    <definedName name="PNTYes4">'Final MASTER SCORE'!$C$32</definedName>
    <definedName name="Z_D1832A16_45F5_4C29_9E40_C8C1A3178F5A_.wvu.FilterData" localSheetId="2" hidden="1">'Final MASTER SCORE'!$A$1:$H$34</definedName>
  </definedNames>
  <calcPr calcId="152511"/>
  <customWorkbookViews>
    <customWorkbookView name="Filter 1" guid="{D1832A16-45F5-4C29-9E40-C8C1A3178F5A}" maximized="1" windowWidth="0" windowHeight="0" activeSheetId="0"/>
  </customWorkbookViews>
</workbook>
</file>

<file path=xl/calcChain.xml><?xml version="1.0" encoding="utf-8"?>
<calcChain xmlns="http://schemas.openxmlformats.org/spreadsheetml/2006/main">
  <c r="B86" i="1" l="1"/>
  <c r="B88" i="1" s="1"/>
  <c r="B90" i="1" s="1"/>
  <c r="B86" i="2"/>
  <c r="C86" i="2"/>
  <c r="C85" i="2"/>
  <c r="C84" i="2"/>
  <c r="C83" i="2"/>
  <c r="C82" i="2"/>
  <c r="C81" i="2"/>
  <c r="C80" i="2"/>
  <c r="C79" i="2"/>
  <c r="C78" i="2"/>
  <c r="C77" i="2"/>
  <c r="C76" i="2"/>
  <c r="C75" i="2"/>
  <c r="C74" i="2"/>
  <c r="C72" i="2"/>
  <c r="C71" i="2"/>
  <c r="C70" i="2"/>
  <c r="C69" i="2"/>
  <c r="C68" i="2"/>
  <c r="C67" i="2"/>
  <c r="C61" i="2"/>
  <c r="C57" i="2"/>
  <c r="C56" i="2"/>
  <c r="C55" i="2"/>
  <c r="C52" i="2"/>
  <c r="C37" i="2"/>
  <c r="C35" i="2"/>
  <c r="C31" i="2"/>
  <c r="C30" i="2"/>
  <c r="C29" i="2"/>
  <c r="C28" i="2"/>
  <c r="C27" i="2"/>
  <c r="D28" i="3"/>
  <c r="D27" i="3"/>
  <c r="D26" i="3"/>
  <c r="D25" i="3"/>
  <c r="D24" i="3"/>
  <c r="D23" i="3"/>
  <c r="D22" i="3"/>
  <c r="D21" i="3"/>
  <c r="D20" i="3"/>
  <c r="D19" i="3"/>
  <c r="D18" i="3"/>
  <c r="D17" i="3"/>
  <c r="D16" i="3"/>
  <c r="D15" i="3"/>
  <c r="D14" i="3"/>
  <c r="D13" i="3"/>
  <c r="D12" i="3"/>
  <c r="D11" i="3"/>
  <c r="D10" i="3"/>
  <c r="D9" i="3"/>
  <c r="D8" i="3"/>
  <c r="D7" i="3"/>
  <c r="D6" i="3"/>
  <c r="D5" i="3"/>
  <c r="D4" i="3"/>
  <c r="D2" i="3"/>
  <c r="D3" i="3"/>
  <c r="C62" i="2" a="1"/>
  <c r="C62" i="2" s="1"/>
  <c r="C59" i="2" a="1"/>
  <c r="C59" i="2" s="1"/>
  <c r="C58" i="2" a="1"/>
  <c r="C58" i="2" s="1"/>
  <c r="C54" i="2" a="1"/>
  <c r="C54" i="2"/>
  <c r="C53" i="2" a="1"/>
  <c r="C53" i="2" s="1"/>
  <c r="C47" i="2" a="1"/>
  <c r="C47" i="2" s="1"/>
  <c r="C45" i="2" a="1"/>
  <c r="C45" i="2"/>
  <c r="C43" i="2" a="1"/>
  <c r="C43" i="2" s="1"/>
  <c r="C41" i="2" a="1"/>
  <c r="C41" i="2"/>
  <c r="C39" i="2" a="1"/>
  <c r="C39" i="2" s="1"/>
  <c r="C38" i="2" a="1"/>
  <c r="C38" i="2"/>
  <c r="C86" i="1"/>
  <c r="C88" i="1" s="1"/>
  <c r="C85" i="1"/>
  <c r="C84" i="1"/>
  <c r="C83" i="1"/>
  <c r="C82" i="1"/>
  <c r="C81" i="1"/>
  <c r="C80" i="1"/>
  <c r="C79" i="1"/>
  <c r="C78" i="1"/>
  <c r="C77" i="1"/>
  <c r="C76" i="1"/>
  <c r="C75" i="1"/>
  <c r="C74" i="1"/>
  <c r="C72" i="1"/>
  <c r="C71" i="1"/>
  <c r="C70" i="1"/>
  <c r="C69" i="1"/>
  <c r="C68" i="1"/>
  <c r="C67" i="1"/>
  <c r="C63" i="1"/>
  <c r="C62" i="1" a="1"/>
  <c r="C62" i="1" s="1"/>
  <c r="B63" i="1" s="1"/>
  <c r="C61" i="1"/>
  <c r="C59" i="1" a="1"/>
  <c r="C59" i="1"/>
  <c r="C58" i="1" a="1"/>
  <c r="C58" i="1"/>
  <c r="C57" i="1"/>
  <c r="C56" i="1"/>
  <c r="C55" i="1"/>
  <c r="C54" i="1" a="1"/>
  <c r="C54" i="1"/>
  <c r="C53" i="1" a="1"/>
  <c r="C53" i="1" s="1"/>
  <c r="C52" i="1"/>
  <c r="C47" i="1" a="1"/>
  <c r="C47" i="1"/>
  <c r="C45" i="1" a="1"/>
  <c r="C45" i="1"/>
  <c r="C43" i="1" a="1"/>
  <c r="C43" i="1"/>
  <c r="C41" i="1" a="1"/>
  <c r="C41" i="1"/>
  <c r="C39" i="1" a="1"/>
  <c r="C39" i="1"/>
  <c r="C38" i="1" a="1"/>
  <c r="C38" i="1"/>
  <c r="C37" i="1"/>
  <c r="C35" i="1"/>
  <c r="C31" i="1"/>
  <c r="C30" i="1"/>
  <c r="C29" i="1"/>
  <c r="C28" i="1"/>
  <c r="C27" i="1"/>
  <c r="B63" i="2" l="1"/>
  <c r="B88" i="2" s="1"/>
  <c r="B90" i="2" s="1"/>
  <c r="C63" i="2"/>
  <c r="C88" i="2" s="1"/>
</calcChain>
</file>

<file path=xl/comments1.xml><?xml version="1.0" encoding="utf-8"?>
<comments xmlns="http://schemas.openxmlformats.org/spreadsheetml/2006/main">
  <authors>
    <author/>
  </authors>
  <commentList>
    <comment ref="A1" authorId="0" shapeId="0">
      <text>
        <r>
          <rPr>
            <sz val="10"/>
            <color rgb="FF000000"/>
            <rFont val="Arial"/>
          </rPr>
          <t>mismatched label lead to error in points
	-Johanne J</t>
        </r>
      </text>
    </comment>
  </commentList>
</comments>
</file>

<file path=xl/sharedStrings.xml><?xml version="1.0" encoding="utf-8"?>
<sst xmlns="http://schemas.openxmlformats.org/spreadsheetml/2006/main" count="673" uniqueCount="300">
  <si>
    <t>Questions</t>
  </si>
  <si>
    <t>Validation</t>
  </si>
  <si>
    <t>Score</t>
  </si>
  <si>
    <t>Nom de la personne sondée</t>
  </si>
  <si>
    <t>Label</t>
  </si>
  <si>
    <t>Name of respondent</t>
  </si>
  <si>
    <t xml:space="preserve">Étiquette </t>
  </si>
  <si>
    <t>Points</t>
  </si>
  <si>
    <t>Job title</t>
  </si>
  <si>
    <t>Department</t>
  </si>
  <si>
    <t>Branch</t>
  </si>
  <si>
    <t>Project Title</t>
  </si>
  <si>
    <t>FR Name Range</t>
  </si>
  <si>
    <t>Named range for list</t>
  </si>
  <si>
    <t>Named range for points, optional if score sequential</t>
  </si>
  <si>
    <t>Formula for adjustable scores</t>
  </si>
  <si>
    <t>Please provide an attachment of the project description</t>
  </si>
  <si>
    <t>Fornula for fixed sequential scores (e.g. 1 to 4)</t>
  </si>
  <si>
    <t> BUSINESS DRIVER / POSITIVE IMPACT</t>
  </si>
  <si>
    <t>FOR INFORMATION</t>
  </si>
  <si>
    <t>What is motivating your team to introduce automation into this decision-making process? (Check all that apply)</t>
  </si>
  <si>
    <t>Existing backlog of work or cases</t>
  </si>
  <si>
    <t>Titre du poste</t>
  </si>
  <si>
    <t>Reversible</t>
  </si>
  <si>
    <t>Ministère</t>
  </si>
  <si>
    <t>Direction</t>
  </si>
  <si>
    <t>Improve overall quality of decisions</t>
  </si>
  <si>
    <t>Titre du projet</t>
  </si>
  <si>
    <t>Lower transaction costs of an existing program</t>
  </si>
  <si>
    <t>Veuillez fournir une pièce jointe comprenant la description du projet</t>
  </si>
  <si>
    <t>FACTEUR OPÉRATIONNEL/INCIDENCE POSITIVE</t>
  </si>
  <si>
    <t>The system is performing tasks that humans cound not accomplish in a reasonable period of time </t>
  </si>
  <si>
    <t>Use innovative approaches</t>
  </si>
  <si>
    <t>Réversible</t>
  </si>
  <si>
    <t>Other (please specify)</t>
  </si>
  <si>
    <t>ABOUT THE SYSTEM</t>
  </si>
  <si>
    <t>Please check which of the following capabilities apply to your system.</t>
  </si>
  <si>
    <r>
      <rPr>
        <b/>
        <sz val="10"/>
        <rFont val="Arial"/>
      </rPr>
      <t>Image and object recognition</t>
    </r>
    <r>
      <rPr>
        <sz val="10"/>
        <color rgb="FF000000"/>
        <rFont val="Arial"/>
      </rPr>
      <t xml:space="preserve">: Analyzing very large data sets to automate the recognition, classification, and context associated with an image or object.
</t>
    </r>
  </si>
  <si>
    <t xml:space="preserve">NOTE: Sample applications: Photo tagging; facial recognition; video analysis; simultaneous localization and mapping; obstacle avoidance; satellite imagery analysis
</t>
  </si>
  <si>
    <r>
      <rPr>
        <b/>
        <sz val="10"/>
        <rFont val="Arial"/>
      </rPr>
      <t>Text and speech analysis</t>
    </r>
    <r>
      <rPr>
        <sz val="10"/>
        <color rgb="FF000000"/>
        <rFont val="Arial"/>
      </rPr>
      <t xml:space="preserve">: Analyzing large data sets to recognize, process, and tag text, speech, voice, and make recommendations based on the tagging
</t>
    </r>
  </si>
  <si>
    <t xml:space="preserve">NOTE: Sample applications: Voice recognition; language translation; event scheduling; search engine queries; social media analysis and curation
</t>
  </si>
  <si>
    <t>Arriéré de travail ou de cas existant</t>
  </si>
  <si>
    <r>
      <rPr>
        <b/>
        <sz val="10"/>
        <rFont val="Arial"/>
      </rPr>
      <t>Risk assessment:</t>
    </r>
    <r>
      <rPr>
        <sz val="10"/>
        <color rgb="FF000000"/>
        <rFont val="Arial"/>
      </rPr>
      <t xml:space="preserve"> Analyzing very large data sets to identify patterns and recommend courses of action and in some cases trigger specific actions
</t>
    </r>
  </si>
  <si>
    <t xml:space="preserve">NOTE: Sample applications: Identity fraud; cyber threat analysis; and risk analyses
</t>
  </si>
  <si>
    <t>Amélioration de la qualité générale des décisions</t>
  </si>
  <si>
    <t>OPTreversible</t>
  </si>
  <si>
    <t>PNTreversible</t>
  </si>
  <si>
    <r>
      <rPr>
        <b/>
        <sz val="10"/>
        <rFont val="Arial"/>
      </rPr>
      <t>Content generation:</t>
    </r>
    <r>
      <rPr>
        <sz val="10"/>
        <color rgb="FF000000"/>
        <rFont val="Arial"/>
      </rPr>
      <t xml:space="preserve"> Analyzing large data sets to categorize, process, triage, personalize, and serve specific content for specific contexts
</t>
    </r>
  </si>
  <si>
    <t>"=index(PNTreversible,match(B38,OPTreversible,0))"</t>
  </si>
  <si>
    <t>Réduction des coûts de transaction d'un programme existant</t>
  </si>
  <si>
    <t xml:space="preserve">NOTE: Sample applications: Social media feed curation; Image placement in advertising; customer support or chatbot interactions
</t>
  </si>
  <si>
    <t>Le système exécute des taĉhes que les humans ne sont pas en mesure d'accomplir dans us délai raisonnable</t>
  </si>
  <si>
    <t>"=match(B38,OPTreversible,0)"</t>
  </si>
  <si>
    <r>
      <rPr>
        <b/>
        <sz val="10"/>
        <rFont val="Arial"/>
      </rPr>
      <t>Process optimization &amp; workflow automation</t>
    </r>
    <r>
      <rPr>
        <sz val="10"/>
        <color rgb="FF000000"/>
        <rFont val="Arial"/>
      </rPr>
      <t xml:space="preserve">: Analyzing large data sets to identify and anomalies, cluster patterns, predict outcomes or ways to optimize; and automate specific workflows
</t>
    </r>
  </si>
  <si>
    <t>Utilisation d'approches novatrices</t>
  </si>
  <si>
    <t xml:space="preserve">NOTE: Sample applications: scenario planning; robotic process automation; cost predictions
</t>
  </si>
  <si>
    <t>Autre (veuillez préciser)</t>
  </si>
  <si>
    <t>ABOUT THE DECISION</t>
  </si>
  <si>
    <t>NOTE: Domains are not assessed for risk. i.e. health related services are not considered higher impact than social assistance. However, if multiple boxes are checked, 3 points will be applied.</t>
  </si>
  <si>
    <t>À PROPOS DU SYSTÈME</t>
  </si>
  <si>
    <t>Does the decision pertain to any of the categories below (*check all that apply):</t>
  </si>
  <si>
    <t>Veuillez indiquer laquelle des capacités suivantes s'applique à votre système.</t>
  </si>
  <si>
    <t>Likely reversible</t>
  </si>
  <si>
    <t>Health related services</t>
  </si>
  <si>
    <t>Probablement réversible</t>
  </si>
  <si>
    <t>Reconnaissance d'images et d'objets: Analyser de volumineux jeux de donnée pour automatiser la reconnaissance, la classification et le context associés à une image ou à un objet.</t>
  </si>
  <si>
    <t>Difficult to reverse</t>
  </si>
  <si>
    <t>Difficile à inverser</t>
  </si>
  <si>
    <t>Analyse du texte et de la parole: Analyser de vastes jeux de données pour reconnaître, traiter et étiqueter le texte, la parole, la voix et faire des recommendations en fonction du marquage.</t>
  </si>
  <si>
    <t>Irreversible</t>
  </si>
  <si>
    <t>Irréversible</t>
  </si>
  <si>
    <t>Economic interests (grants and contributions, tax benefits, debt collection)</t>
  </si>
  <si>
    <t xml:space="preserve">Évaluation des risques: Analyser de volumineux jeux de données pour déterminer les tendances et recommander des mesures et, dans certains cas, déclencher la prise de mesures précises. </t>
  </si>
  <si>
    <t>Impacts are most likely to be brief</t>
  </si>
  <si>
    <t xml:space="preserve">Génération de contenu: Analyser de vastes jeux de données pour créer des catégories, traiter, trier, personnaliser et servir un contenu spécifique destiné à des contextes particuliers.
</t>
  </si>
  <si>
    <t xml:space="preserve">Optimisation des processus et automatisation des flux de travail: Analyser de vastes jeux de connées pour déterminer et corriger les anomalies, les modèles de grappes, prévoir les résultats ou les façons d'optimiser; et d'automatiser des flux de travail spécifique. </t>
  </si>
  <si>
    <t>Social assistance (ei, disability claims, etc)</t>
  </si>
  <si>
    <t>À PROPOS DE LA DÉCISION</t>
  </si>
  <si>
    <t>Les incidences risquent fort probablement d’être brèves</t>
  </si>
  <si>
    <t>La décision s'applique-t-elle à l'une ou l'autre des catégories ci-dessous (*Cochez toutes les réponses qui s'appliquent) :</t>
  </si>
  <si>
    <t>Services liés à la santé</t>
  </si>
  <si>
    <t>Access and mobility ( security clearences, border crossings)</t>
  </si>
  <si>
    <t>OPTduration</t>
  </si>
  <si>
    <t>Licensing and issuance of permits</t>
  </si>
  <si>
    <t>Intérêts économiques (subventions et contributions, avantages fiscaux, recouvrement de dettes)</t>
  </si>
  <si>
    <t>PNTduration</t>
  </si>
  <si>
    <t>Some impacts may last a matter of months, but some lingering impacts may last longer</t>
  </si>
  <si>
    <t>Certaines incidences peuvent durer quelques mois ou plus longtemps.</t>
  </si>
  <si>
    <t>Aide sociales (assurance-emploi, demandes de prestations d'invalidité, etc.)</t>
  </si>
  <si>
    <t>Impacts can last over a year, with some longer</t>
  </si>
  <si>
    <t>Les incidences peuvent durer plus d’un an et plus.</t>
  </si>
  <si>
    <t>Accès et mobilité (habitations de sécurité, passages frontaliers)</t>
  </si>
  <si>
    <t>IMPACT ASSESSMEMT</t>
  </si>
  <si>
    <t>Most impacts are perpetual</t>
  </si>
  <si>
    <t>La plupart des incidences sont sans limite dans le temps.</t>
  </si>
  <si>
    <t>1pt</t>
  </si>
  <si>
    <t>Accréditation et d.livrance de permis</t>
  </si>
  <si>
    <t>2pt</t>
  </si>
  <si>
    <t>3pt</t>
  </si>
  <si>
    <t>4pt</t>
  </si>
  <si>
    <t>0pt</t>
  </si>
  <si>
    <t>little to no impact</t>
  </si>
  <si>
    <t>Formula</t>
  </si>
  <si>
    <t>ÉVALUATION DE L'INCIDENCE</t>
  </si>
  <si>
    <t>Incidence faible ou nulle</t>
  </si>
  <si>
    <t>Proposed methodolgy. Each risk score will determined by a final score based on percentage. i.e. 0-25% level 1; 25-50 level 2 , etc.</t>
  </si>
  <si>
    <t>OPTimpact</t>
  </si>
  <si>
    <t>PNTimpact</t>
  </si>
  <si>
    <t>moderate impact</t>
  </si>
  <si>
    <t>Incidence modérée</t>
  </si>
  <si>
    <t>Yes</t>
  </si>
  <si>
    <t>high impact</t>
  </si>
  <si>
    <t>Incidence élevée</t>
  </si>
  <si>
    <t>No</t>
  </si>
  <si>
    <t>points per scale</t>
  </si>
  <si>
    <t>NOTE:  Legislation often compels a decision-maker to act in a particular way. Where the words ‘shall’ or ‘must’ are used in legislation, there is usually no discretion available to the decision-maker. For example, if the legislation states that an application must be received by a specific date, the decision-maker must refuse the application if it is not received by that date. However, where the legislation uses the word ‘may’, the decision-maker is given a discretionarypower to deal with a matter and has a choice to make. This choice will often involve an element of judgment about the decision.</t>
  </si>
  <si>
    <t>very high impact</t>
  </si>
  <si>
    <t>Incidence très élevée</t>
  </si>
  <si>
    <t>Protected A</t>
  </si>
  <si>
    <t>free text. for information</t>
  </si>
  <si>
    <t>N/A</t>
  </si>
  <si>
    <t xml:space="preserve">
Note: The Charter generally falls into seven buckets:
fundamental freedoms, democratic rights, language rights,
mobility rights, minority language educational rights, legal rights,
and equality rights. -- Do we want to score or capture these for information?
</t>
  </si>
  <si>
    <t>moderate impact</t>
  </si>
  <si>
    <t>high impact</t>
  </si>
  <si>
    <t>Does the recommendation or decision made by the system include elements of discretion?</t>
  </si>
  <si>
    <t>Protégé A</t>
  </si>
  <si>
    <t>OPTsecurityclass</t>
  </si>
  <si>
    <t>PNTsecurityclass</t>
  </si>
  <si>
    <t>Classified / Confidential</t>
  </si>
  <si>
    <t>Classifié/confidentiel</t>
  </si>
  <si>
    <t>Protected B / Protected C</t>
  </si>
  <si>
    <t>Protégé B/Protégé C</t>
  </si>
  <si>
    <t>Describe what is discretionary about the decision</t>
  </si>
  <si>
    <t>secret / top secret</t>
  </si>
  <si>
    <t>Secret/Très secret</t>
  </si>
  <si>
    <t>Is the system used by a different part of the organization than the ones who developed it?</t>
  </si>
  <si>
    <t>None</t>
  </si>
  <si>
    <t>Aucun</t>
  </si>
  <si>
    <t>Federal government</t>
  </si>
  <si>
    <t>Are the impacts resulting from the decision reversible?</t>
  </si>
  <si>
    <t>Gouvernement fédéral</t>
  </si>
  <si>
    <t>OPTcontroldata</t>
  </si>
  <si>
    <t>PNTcontroldata</t>
  </si>
  <si>
    <t>Other Canadian Government (prov/municipal)</t>
  </si>
  <si>
    <t>Autre gouvernement canadien (provincial/municipal)</t>
  </si>
  <si>
    <t>.</t>
  </si>
  <si>
    <t>Private Sector / NGO</t>
  </si>
  <si>
    <t>Secteur privé/ONG</t>
  </si>
  <si>
    <t>How long will impacts from the decision last?</t>
  </si>
  <si>
    <t>À PROPOS DES DONNÉES</t>
  </si>
  <si>
    <t>Open Data Source</t>
  </si>
  <si>
    <t>Source de données ouvertes</t>
  </si>
  <si>
    <t>A. Source des données</t>
  </si>
  <si>
    <t>Your institution</t>
  </si>
  <si>
    <t>Votre institution</t>
  </si>
  <si>
    <t>Please describe why the impacts resulting from the decision are (as per selected option above). </t>
  </si>
  <si>
    <t>OPTsourcedata</t>
  </si>
  <si>
    <t>PNTsourcedata</t>
  </si>
  <si>
    <r>
      <t xml:space="preserve">the impacts that the decision will have on </t>
    </r>
    <r>
      <rPr>
        <b/>
        <u/>
        <sz val="10"/>
        <rFont val="Arial"/>
      </rPr>
      <t>the rights or freedoms of</t>
    </r>
    <r>
      <rPr>
        <sz val="10"/>
        <color rgb="FF000000"/>
        <rFont val="Arial"/>
      </rPr>
      <t xml:space="preserve"> individuals or communities, will likely be:</t>
    </r>
  </si>
  <si>
    <t>Another federal institution</t>
  </si>
  <si>
    <t>Une autre institution fédérale</t>
  </si>
  <si>
    <t>Another level of government</t>
  </si>
  <si>
    <t>Autre niveau de gouvernement</t>
  </si>
  <si>
    <t>A foreign government or non-government third party</t>
  </si>
  <si>
    <t>Un gouvernement étranger ou un tiers non gouvernemental</t>
  </si>
  <si>
    <r>
      <t xml:space="preserve">the impacts that the decision will have on </t>
    </r>
    <r>
      <rPr>
        <b/>
        <u/>
        <sz val="10"/>
        <rFont val="Arial"/>
      </rPr>
      <t>the health and well-being </t>
    </r>
    <r>
      <rPr>
        <sz val="10"/>
        <color rgb="FF000000"/>
        <rFont val="Arial"/>
      </rPr>
      <t>of individuals or communities, will likely be:</t>
    </r>
  </si>
  <si>
    <t>Audio and text files</t>
  </si>
  <si>
    <t>Fichiers audio et textuels</t>
  </si>
  <si>
    <t>OPTunstructdata</t>
  </si>
  <si>
    <t>PNTunstructdata</t>
  </si>
  <si>
    <t>Images and videos</t>
  </si>
  <si>
    <t>Images et vidéos</t>
  </si>
  <si>
    <t xml:space="preserve">Protected B/ Protected C / </t>
  </si>
  <si>
    <t>Please describe why the impacts resulting from the decision are (as per selected option above</t>
  </si>
  <si>
    <t>Yes1</t>
  </si>
  <si>
    <t>Oui1</t>
  </si>
  <si>
    <r>
      <t>th impacts that the decision will have on the </t>
    </r>
    <r>
      <rPr>
        <b/>
        <u/>
        <sz val="10"/>
        <rFont val="Arial"/>
      </rPr>
      <t>economic interests</t>
    </r>
    <r>
      <rPr>
        <sz val="10"/>
        <color rgb="FF000000"/>
        <rFont val="Arial"/>
      </rPr>
      <t> of individuals or communities, will likely be:</t>
    </r>
  </si>
  <si>
    <t>PNTYes1</t>
  </si>
  <si>
    <t>Yes2</t>
  </si>
  <si>
    <t>Oui2</t>
  </si>
  <si>
    <t>PNTYes2</t>
  </si>
  <si>
    <t>Yes3</t>
  </si>
  <si>
    <t>Oui3</t>
  </si>
  <si>
    <t>PNTYes3</t>
  </si>
  <si>
    <r>
      <t xml:space="preserve">the impacts that the decision will have on the </t>
    </r>
    <r>
      <rPr>
        <b/>
        <u/>
        <sz val="10"/>
        <rFont val="Arial"/>
      </rPr>
      <t>ongoing sustainability of an environmental ecosystem</t>
    </r>
    <r>
      <rPr>
        <sz val="10"/>
        <color rgb="FF000000"/>
        <rFont val="Arial"/>
      </rPr>
      <t>, will likely be:</t>
    </r>
  </si>
  <si>
    <t>Yes4</t>
  </si>
  <si>
    <t>Oui4</t>
  </si>
  <si>
    <t> </t>
  </si>
  <si>
    <t>PNTYes4</t>
  </si>
  <si>
    <t>Mitigation Points Threshold</t>
  </si>
  <si>
    <t>Pourcentage Atténuation </t>
  </si>
  <si>
    <t>ABOUT THE DATA</t>
  </si>
  <si>
    <t>A. Data Source</t>
  </si>
  <si>
    <t>PNTthresholdMitigation</t>
  </si>
  <si>
    <t>Will the Automated Decision System use personal information as input data?</t>
  </si>
  <si>
    <t>Mitigation Max Points</t>
  </si>
  <si>
    <t>Point Max Atténuation</t>
  </si>
  <si>
    <t>PNTmaxMitigation</t>
  </si>
  <si>
    <t>What is the highest security classification of the input data used by the system? (Select one)</t>
  </si>
  <si>
    <t>Who controls the data?</t>
  </si>
  <si>
    <t>Qui a recueilli les données d’entrée utilisées par le système?</t>
  </si>
  <si>
    <t>another federal institution</t>
  </si>
  <si>
    <t>another level of government</t>
  </si>
  <si>
    <t>a foreign government or non-government third party</t>
  </si>
  <si>
    <t>Will the system data use from multiple different sources?</t>
  </si>
  <si>
    <t>B. Type de données</t>
  </si>
  <si>
    <t>Will the system require input data from an Internet- or telephony-connected device? (e.g. a sensor)</t>
  </si>
  <si>
    <t>Will  the system interface with other IT systems?</t>
  </si>
  <si>
    <t>Who collected the data used for training the system? </t>
  </si>
  <si>
    <t>COTE DE RISQUE BRUTE</t>
  </si>
  <si>
    <t>Who collected the input data used by the system?</t>
  </si>
  <si>
    <t>B. Type of Data</t>
  </si>
  <si>
    <t>Currently total risk points are 77. 18 points per risk level?</t>
  </si>
  <si>
    <t>Will the system require the analysis of unstructured data to render a recommendation or a decision?</t>
  </si>
  <si>
    <t>Élimination des risques et mesure d'atténuation</t>
  </si>
  <si>
    <t>What types of unstructured data (Check all that apply)?</t>
  </si>
  <si>
    <t>0pts</t>
  </si>
  <si>
    <t>1pts</t>
  </si>
  <si>
    <t>2pts</t>
  </si>
  <si>
    <t>QUALITÉ DES DONNÉES</t>
  </si>
  <si>
    <t>RAW RISK SCORE</t>
  </si>
  <si>
    <t xml:space="preserve">Avez-vous documenté les processus en place pour
tester les jeux de données en fonction de biais et d’autres résultats
inattendus? Par exemple, ceci pourrait inclure une expérience dans
l’application de cadres, de méthodes, de lignes directrices ou d’outils
d’évaluation.
</t>
  </si>
  <si>
    <t>DE-RISKING AND MITIGATION MEASURES</t>
  </si>
  <si>
    <t xml:space="preserve">Existe-t-il actuellement un processus
permettant de documenter la façon dont les problèmes de qualité des données ont
été résolus pendant le processus de conception?
</t>
  </si>
  <si>
    <t>DATA QUALITY</t>
  </si>
  <si>
    <t>Have you documented processes in place to test datasets against biases and other unexpected outcomes? This could include experience in applying frameworks, methods, guidelines or other assessment tools.</t>
  </si>
  <si>
    <t xml:space="preserve">Avez-vous procédé à une analyse comparative
entre les sexes plus des données?
</t>
  </si>
  <si>
    <t>Is there a process currently in place to document how data quality issues were resolved during the design process?</t>
  </si>
  <si>
    <t xml:space="preserve">Avez-vous documenté des processus permettant de
gérer le risque que des données obsolètes ou non fiables soient utilisées pour
une prise de décision automatisée?
</t>
  </si>
  <si>
    <t>Have you undertaken a Gender Based Analysis Plus of the data?</t>
  </si>
  <si>
    <t xml:space="preserve">Les données seront-elles affichées sur le
portail Gouvernement ouvert?
</t>
  </si>
  <si>
    <t>Have you assigned accountability in your institution for the design, development, maintenance, and improvement of the system?</t>
  </si>
  <si>
    <t>Have you documented processes to manage the risk that outdated or unreliable data is used to make an automated decision?</t>
  </si>
  <si>
    <t>ÉQUITÉ PROCÉDURALE</t>
  </si>
  <si>
    <t xml:space="preserve">
Le système fournit-il une piste de vérification
qui enregistre les recommandations ou les décisions?
</t>
  </si>
  <si>
    <t>Will the data be posted on Open Gov?</t>
  </si>
  <si>
    <t xml:space="preserve">
Tenez-vous un registre détaillant toutes les
modifications apportées au modèle et au système?
</t>
  </si>
  <si>
    <t>PROCEDURAL FAIRNESS</t>
  </si>
  <si>
    <t>Does the system provide an audit trail that records recommendations or decisions?</t>
  </si>
  <si>
    <t xml:space="preserve">
La piste de vérification énonce-t-elle
clairement tous les points de décision pris par le système?
</t>
  </si>
  <si>
    <t>Do  you maintain a log detailing  all of the changes made to the model and the system ?</t>
  </si>
  <si>
    <t xml:space="preserve">
La piste de vérification indique-t-elle qui est
un décideur autorisé?
</t>
  </si>
  <si>
    <t>Does the audit trail clearly set out all decision points made by the system?</t>
  </si>
  <si>
    <t xml:space="preserve">
Le système justifie-t-il ses décisions ou ses
recommandations, au besoin?
</t>
  </si>
  <si>
    <t>Does the audit trail show who an authorized decision-maker is?</t>
  </si>
  <si>
    <t xml:space="preserve">
Existe-t-il un processus en place permettant
d’accorder, de surveiller et de révoquer l’autorisation d’accès au système?
</t>
  </si>
  <si>
    <t>Does the system produce reasons for its decisions or recommendations when required?</t>
  </si>
  <si>
    <t xml:space="preserve">
Existe-t-il un mécanisme permettant de
recueillir les commentaires des utilisateurs du système?
</t>
  </si>
  <si>
    <t>Is there a process in place to grant, monitor, and revoke access permission to the system?</t>
  </si>
  <si>
    <t xml:space="preserve">
Un processus de recours est-il prévu ou établi
pour les clients qui souhaitent contester la décision?
</t>
  </si>
  <si>
    <t>Is there a mechanism to capture feedback by users of the system?</t>
  </si>
  <si>
    <t xml:space="preserve">
Le système permet-il aux humains de passer
outre les décisions du système?
</t>
  </si>
  <si>
    <t>Is there a recourse process planned or established for clients that wish to challenge the decision?</t>
  </si>
  <si>
    <t xml:space="preserve">
Y a-t-il un processus en place pour consigner
les cas où des dérogations ont été effectuées?
</t>
  </si>
  <si>
    <t>Does the system enable human override of system decisions?</t>
  </si>
  <si>
    <t xml:space="preserve">
La piste de vérification comprend-elle des
processus de contrôle des changements pour consigner les modifications
apportées au fonctionnement ou au rendement du système?
</t>
  </si>
  <si>
    <t>Is there a process in place to log the instances when overrides were performed?</t>
  </si>
  <si>
    <t xml:space="preserve">
Avez-vous préparé un dossier conceptuel pour le
Conseil d’examen de l’architecture intégrée du gouvernement du Canada?
</t>
  </si>
  <si>
    <t>Does the audit trail include change control processes to record modifications to the system's operation or performance?</t>
  </si>
  <si>
    <t>COTE D'ATTÉNUATION</t>
  </si>
  <si>
    <t>Have you prepared a concept case to the Government of Canada Enterprise Architecture Review Baord?</t>
  </si>
  <si>
    <t>MITIGATION SCORE</t>
  </si>
  <si>
    <t>Derisking based on percentage below</t>
  </si>
  <si>
    <t>Total points possible</t>
  </si>
  <si>
    <t>COTE DE RISQUE FINALE</t>
  </si>
  <si>
    <t>FINAL RISK SCORE</t>
  </si>
  <si>
    <t>Raw risk score - mitigation score = Final risk level</t>
  </si>
  <si>
    <t>NIVEAU DE RISQUE</t>
  </si>
  <si>
    <t>RISK LEVEL</t>
  </si>
  <si>
    <t>Level 1</t>
  </si>
  <si>
    <t>0-18</t>
  </si>
  <si>
    <t>Level 2</t>
  </si>
  <si>
    <t>19- 36</t>
  </si>
  <si>
    <t>Level 3</t>
  </si>
  <si>
    <t>37-  54</t>
  </si>
  <si>
    <t>Level 4</t>
  </si>
  <si>
    <t>55- 72</t>
  </si>
  <si>
    <t>VRAI</t>
  </si>
  <si>
    <t>Qu'est-ce qui motive votre équipe à introduire l'automatisation dans ce processus décisionnel? (Cochez toutes les réponses qui s'appliques.)</t>
  </si>
  <si>
    <t>Dans votre établissement, existe-t-il des responsables de la conception, du développement, de la maintenance et de l’amélioration du système?</t>
  </si>
  <si>
    <t>La recommandation ou la décision prise par le
système comprend-elle des éléments d’appréciation</t>
  </si>
  <si>
    <t>Décrire en quoi la décision est discrétionnaire</t>
  </si>
  <si>
    <t>Le système est-il utilisé par une partie de
l’organisation différente de celle à laquelle appartiennent ceux qui l’ont
développé?</t>
  </si>
  <si>
    <t>les incidences de la décision sur la santé et
le bien-être des personnes ou des collectivités seront probablement les
suivantes :</t>
  </si>
  <si>
    <t>De quel type de données non structurées
s’agit-il (Cochez toutes les réponses qui s’appliquent)?</t>
  </si>
  <si>
    <t>Les incidences découlant de la décision
sont-elles réversibles?</t>
  </si>
  <si>
    <t>Combien de temps les incidences de la décision
dureront-elles?</t>
  </si>
  <si>
    <t xml:space="preserve">Veuillez indiquer pour quelle raison les
incidences découlant de la décision sont (selon l’option sélectionnée
ci-dessus). </t>
  </si>
  <si>
    <t>les incidences de la décision sur les droits ou
libertés des personnes ou des collectivités seront probablement les
suivantes :</t>
  </si>
  <si>
    <t>Veuillez indiquer pour quelle raison les
incidences découlant de la décision sont (selon l’option sélectionnée
ci-dessus).</t>
  </si>
  <si>
    <t>les incidences de la décision sur les intérêts
économiques des personnes ou des collectivités seront probablement les
suivantes :</t>
  </si>
  <si>
    <t>les incidences de la décision sur la pérennité
d’un écosystème environnemental seront probablement les suivantes :</t>
  </si>
  <si>
    <t>Le système de décision automatisé
utilisera-t-il des renseignements personnels comme données d’entrée?</t>
  </si>
  <si>
    <t>Qui contrôle les données?</t>
  </si>
  <si>
    <t>Les données utilisées par le système
proviendront-elles de plusieurs sources différentes?</t>
  </si>
  <si>
    <t>Le système interagira-t-il avec d’autres
systèmes des TI?</t>
  </si>
  <si>
    <t>Qui a recueilli les données utilisées pour
préparer le système?</t>
  </si>
  <si>
    <t>Le système exigera-t-il l’analyse de données
non structurées pour faire une recommandation ou prendre une décision?</t>
  </si>
  <si>
    <t>Le système aura-t-il besoin de données d’entrée
provenant d’un appareil connecté à Internet ou à la téléphonie? (P. ex., un capteur)</t>
  </si>
  <si>
    <t>Quelle est la classification de sécurité la
plus élevée des données d’entrée utilisées par le système? (N’en choisir qu’une seule)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</si>
</sst>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font>
      <sz val="10"/>
      <color rgb="FF000000"/>
      <name val="Arial"/>
    </font>
    <font>
      <b/>
      <sz val="10"/>
      <name val="Arial"/>
    </font>
    <font>
      <sz val="10"/>
      <name val="Arial"/>
    </font>
    <font>
      <sz val="10"/>
      <name val="Thread-000022c8-Id-00000001"/>
    </font>
    <font>
      <b/>
      <sz val="12"/>
      <name val="Arial"/>
    </font>
    <font>
      <sz val="10"/>
      <name val="Roboto"/>
    </font>
    <font>
      <sz val="10"/>
      <name val="Arial"/>
    </font>
    <font>
      <b/>
      <sz val="30"/>
      <name val="Arial"/>
    </font>
    <font>
      <b/>
      <sz val="24"/>
      <name val="Arial"/>
    </font>
    <font>
      <b/>
      <sz val="12"/>
      <name val="Roboto"/>
    </font>
    <font>
      <b/>
      <u/>
      <sz val="10"/>
      <name val="Arial"/>
    </font>
  </fonts>
  <fills count="15">
    <fill>
      <patternFill patternType="none"/>
    </fill>
    <fill>
      <patternFill patternType="gray125"/>
    </fill>
    <fill>
      <patternFill patternType="solid">
        <fgColor rgb="FFD9D2E9"/>
        <bgColor rgb="FFD9D2E9"/>
      </patternFill>
    </fill>
    <fill>
      <patternFill patternType="solid">
        <fgColor rgb="FFFFF2CC"/>
        <bgColor rgb="FFFFF2CC"/>
      </patternFill>
    </fill>
    <fill>
      <patternFill patternType="solid">
        <fgColor rgb="FFFFFFFF"/>
        <bgColor rgb="FFFFFFFF"/>
      </patternFill>
    </fill>
    <fill>
      <patternFill patternType="solid">
        <fgColor rgb="FF999999"/>
        <bgColor rgb="FF999999"/>
      </patternFill>
    </fill>
    <fill>
      <patternFill patternType="solid">
        <fgColor rgb="FFCFE2F3"/>
        <bgColor rgb="FFCFE2F3"/>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D9D9D9"/>
        <bgColor rgb="FFD9D9D9"/>
      </patternFill>
    </fill>
    <fill>
      <patternFill patternType="solid">
        <fgColor rgb="FFB7B7B7"/>
        <bgColor rgb="FFB7B7B7"/>
      </patternFill>
    </fill>
    <fill>
      <patternFill patternType="solid">
        <fgColor rgb="FFCCCCCC"/>
        <bgColor rgb="FFCCCCCC"/>
      </patternFill>
    </fill>
    <fill>
      <patternFill patternType="solid">
        <fgColor rgb="FFFFFF00"/>
        <bgColor rgb="FFFFFF00"/>
      </patternFill>
    </fill>
    <fill>
      <patternFill patternType="solid">
        <fgColor rgb="FF00FFFF"/>
        <bgColor rgb="FF00FFFF"/>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99">
    <xf numFmtId="0" fontId="0" fillId="0" borderId="0" xfId="0" applyFont="1" applyAlignment="1"/>
    <xf numFmtId="0" fontId="1" fillId="2" borderId="0" xfId="0" applyFont="1" applyFill="1" applyAlignment="1">
      <alignment wrapText="1"/>
    </xf>
    <xf numFmtId="0" fontId="1" fillId="2" borderId="0" xfId="0" applyFont="1" applyFill="1" applyAlignment="1">
      <alignment horizontal="center" wrapText="1"/>
    </xf>
    <xf numFmtId="0" fontId="2" fillId="0" borderId="0" xfId="0" applyFont="1" applyAlignment="1">
      <alignment wrapText="1"/>
    </xf>
    <xf numFmtId="0" fontId="2" fillId="3" borderId="0" xfId="0" applyFont="1" applyFill="1" applyAlignment="1">
      <alignment wrapText="1"/>
    </xf>
    <xf numFmtId="0" fontId="2" fillId="4" borderId="0" xfId="0" applyFont="1" applyFill="1" applyAlignment="1">
      <alignment wrapText="1"/>
    </xf>
    <xf numFmtId="0" fontId="3" fillId="0" borderId="0" xfId="0" applyFont="1" applyAlignment="1">
      <alignment wrapText="1"/>
    </xf>
    <xf numFmtId="0" fontId="2" fillId="5" borderId="0" xfId="0" applyFont="1" applyFill="1" applyAlignment="1">
      <alignment wrapText="1"/>
    </xf>
    <xf numFmtId="0" fontId="1" fillId="0" borderId="0" xfId="0" applyFont="1" applyAlignment="1">
      <alignment horizontal="center" wrapText="1"/>
    </xf>
    <xf numFmtId="0" fontId="4" fillId="6" borderId="1" xfId="0" applyFont="1" applyFill="1" applyBorder="1" applyAlignment="1">
      <alignment vertical="top" wrapText="1"/>
    </xf>
    <xf numFmtId="0" fontId="2" fillId="0" borderId="0" xfId="0" applyFont="1" applyAlignment="1">
      <alignment wrapText="1"/>
    </xf>
    <xf numFmtId="0" fontId="4" fillId="6" borderId="1" xfId="0" applyFont="1" applyFill="1" applyBorder="1" applyAlignment="1">
      <alignment horizontal="center" vertical="top" wrapText="1"/>
    </xf>
    <xf numFmtId="0" fontId="2" fillId="4" borderId="0" xfId="0" applyFont="1" applyFill="1" applyAlignment="1">
      <alignment vertical="top" wrapText="1"/>
    </xf>
    <xf numFmtId="0" fontId="2" fillId="2" borderId="0" xfId="0" applyFont="1" applyFill="1" applyAlignment="1">
      <alignment wrapText="1"/>
    </xf>
    <xf numFmtId="0" fontId="2" fillId="4" borderId="0" xfId="0" applyFont="1" applyFill="1" applyAlignment="1">
      <alignment vertical="top"/>
    </xf>
    <xf numFmtId="0" fontId="5" fillId="0" borderId="0" xfId="0" applyFont="1" applyAlignment="1">
      <alignment horizontal="center" vertical="center" wrapText="1"/>
    </xf>
    <xf numFmtId="0" fontId="2" fillId="7" borderId="1" xfId="0" applyFont="1" applyFill="1" applyBorder="1" applyAlignment="1">
      <alignment wrapText="1"/>
    </xf>
    <xf numFmtId="0" fontId="3" fillId="2" borderId="0" xfId="0" applyFont="1" applyFill="1" applyAlignment="1">
      <alignment wrapText="1"/>
    </xf>
    <xf numFmtId="0" fontId="2" fillId="7" borderId="1" xfId="0" applyFont="1" applyFill="1" applyBorder="1" applyAlignment="1">
      <alignment horizontal="center"/>
    </xf>
    <xf numFmtId="0" fontId="2" fillId="8" borderId="0" xfId="0" applyFont="1" applyFill="1" applyAlignment="1">
      <alignment wrapText="1"/>
    </xf>
    <xf numFmtId="0" fontId="6" fillId="0" borderId="0" xfId="0" applyFont="1" applyAlignment="1">
      <alignment wrapText="1"/>
    </xf>
    <xf numFmtId="0" fontId="2" fillId="7" borderId="1" xfId="0" applyFont="1" applyFill="1" applyBorder="1" applyAlignment="1"/>
    <xf numFmtId="0" fontId="2" fillId="0" borderId="0" xfId="0" applyFont="1" applyAlignment="1"/>
    <xf numFmtId="0" fontId="6" fillId="4" borderId="0" xfId="0" applyFont="1" applyFill="1" applyAlignment="1">
      <alignment wrapText="1"/>
    </xf>
    <xf numFmtId="0" fontId="2" fillId="4" borderId="0" xfId="0" applyFont="1" applyFill="1"/>
    <xf numFmtId="0" fontId="1" fillId="0" borderId="0" xfId="0" applyFont="1" applyAlignment="1">
      <alignment horizontal="center" wrapText="1"/>
    </xf>
    <xf numFmtId="0" fontId="2" fillId="4" borderId="1" xfId="0" applyFont="1" applyFill="1" applyBorder="1" applyAlignment="1">
      <alignment horizontal="left" wrapText="1"/>
    </xf>
    <xf numFmtId="0" fontId="2" fillId="4" borderId="1" xfId="0" applyFont="1" applyFill="1" applyBorder="1" applyAlignment="1">
      <alignment horizontal="center" wrapText="1"/>
    </xf>
    <xf numFmtId="0" fontId="2" fillId="4" borderId="1" xfId="0" applyFont="1" applyFill="1" applyBorder="1" applyAlignment="1">
      <alignment wrapText="1"/>
    </xf>
    <xf numFmtId="0" fontId="1" fillId="4" borderId="0" xfId="0" applyFont="1" applyFill="1" applyAlignment="1">
      <alignment horizontal="center" wrapText="1"/>
    </xf>
    <xf numFmtId="0" fontId="1" fillId="9" borderId="0" xfId="0" applyFont="1" applyFill="1" applyAlignment="1">
      <alignment horizontal="center" wrapText="1"/>
    </xf>
    <xf numFmtId="0" fontId="1" fillId="9" borderId="0" xfId="0" applyFont="1" applyFill="1" applyAlignment="1">
      <alignment horizontal="center"/>
    </xf>
    <xf numFmtId="0" fontId="2" fillId="7" borderId="1" xfId="0" applyFont="1" applyFill="1" applyBorder="1" applyAlignment="1">
      <alignment horizontal="left" wrapText="1"/>
    </xf>
    <xf numFmtId="0" fontId="2" fillId="8" borderId="0" xfId="0" applyFont="1" applyFill="1" applyAlignment="1"/>
    <xf numFmtId="0" fontId="2" fillId="7" borderId="1" xfId="0" applyFont="1" applyFill="1" applyBorder="1" applyAlignment="1">
      <alignment horizontal="center" wrapText="1"/>
    </xf>
    <xf numFmtId="0" fontId="1" fillId="10" borderId="0" xfId="0" applyFont="1" applyFill="1" applyAlignment="1">
      <alignment horizontal="center" wrapText="1"/>
    </xf>
    <xf numFmtId="0" fontId="1" fillId="10" borderId="0" xfId="0" applyFont="1" applyFill="1" applyAlignment="1">
      <alignment horizontal="left" wrapText="1"/>
    </xf>
    <xf numFmtId="0" fontId="2" fillId="4" borderId="0" xfId="0" applyFont="1" applyFill="1" applyAlignment="1">
      <alignment horizontal="left" wrapText="1"/>
    </xf>
    <xf numFmtId="0" fontId="2" fillId="11" borderId="0" xfId="0" applyFont="1" applyFill="1" applyAlignment="1">
      <alignment wrapText="1"/>
    </xf>
    <xf numFmtId="0" fontId="1" fillId="4" borderId="0" xfId="0" applyFont="1" applyFill="1" applyAlignment="1">
      <alignment horizontal="center" wrapText="1"/>
    </xf>
    <xf numFmtId="0" fontId="2" fillId="0" borderId="0" xfId="0" applyFont="1" applyAlignment="1">
      <alignment horizontal="left"/>
    </xf>
    <xf numFmtId="0" fontId="2" fillId="8" borderId="0" xfId="0" applyFont="1" applyFill="1" applyAlignment="1">
      <alignment horizontal="left"/>
    </xf>
    <xf numFmtId="0" fontId="2" fillId="0" borderId="1" xfId="0" applyFont="1" applyBorder="1" applyAlignment="1">
      <alignment wrapText="1"/>
    </xf>
    <xf numFmtId="0" fontId="2" fillId="12" borderId="0" xfId="0" applyFont="1" applyFill="1" applyAlignment="1">
      <alignment wrapText="1"/>
    </xf>
    <xf numFmtId="0" fontId="2" fillId="6" borderId="0" xfId="0" applyFont="1" applyFill="1" applyAlignment="1">
      <alignment wrapText="1"/>
    </xf>
    <xf numFmtId="0" fontId="2" fillId="10" borderId="0" xfId="0" applyFont="1" applyFill="1" applyAlignment="1">
      <alignment wrapText="1"/>
    </xf>
    <xf numFmtId="0" fontId="2" fillId="10" borderId="0" xfId="0" applyFont="1" applyFill="1" applyAlignment="1">
      <alignment wrapText="1"/>
    </xf>
    <xf numFmtId="9" fontId="2" fillId="0" borderId="0" xfId="0" applyNumberFormat="1" applyFont="1" applyAlignment="1">
      <alignment horizontal="center"/>
    </xf>
    <xf numFmtId="0" fontId="6" fillId="0" borderId="0" xfId="0" applyFont="1" applyAlignment="1"/>
    <xf numFmtId="0" fontId="2" fillId="0" borderId="0" xfId="0" applyFont="1" applyAlignment="1">
      <alignment horizontal="center"/>
    </xf>
    <xf numFmtId="0" fontId="1" fillId="6" borderId="0" xfId="0" applyFont="1" applyFill="1" applyAlignment="1">
      <alignment horizontal="center" wrapText="1"/>
    </xf>
    <xf numFmtId="0" fontId="2" fillId="6" borderId="0" xfId="0" applyFont="1" applyFill="1" applyAlignment="1">
      <alignment wrapText="1"/>
    </xf>
    <xf numFmtId="0" fontId="8" fillId="0" borderId="0" xfId="0" applyFont="1" applyAlignment="1">
      <alignment wrapText="1"/>
    </xf>
    <xf numFmtId="0" fontId="1" fillId="13" borderId="0" xfId="0" applyFont="1" applyFill="1" applyAlignment="1">
      <alignment horizontal="center" wrapText="1"/>
    </xf>
    <xf numFmtId="0" fontId="2" fillId="14" borderId="0" xfId="0" applyFont="1" applyFill="1" applyAlignment="1">
      <alignment wrapText="1"/>
    </xf>
    <xf numFmtId="0" fontId="1" fillId="0" borderId="0" xfId="0" applyFont="1" applyAlignment="1">
      <alignment horizontal="center"/>
    </xf>
    <xf numFmtId="0" fontId="1" fillId="9" borderId="0" xfId="0" applyFont="1" applyFill="1" applyAlignment="1">
      <alignment wrapText="1"/>
    </xf>
    <xf numFmtId="0" fontId="1" fillId="2" borderId="0" xfId="0" applyFont="1" applyFill="1" applyAlignment="1">
      <alignment horizontal="center" wrapText="1"/>
    </xf>
    <xf numFmtId="0" fontId="2" fillId="2" borderId="0" xfId="0" applyFont="1" applyFill="1" applyAlignment="1">
      <alignment wrapText="1"/>
    </xf>
    <xf numFmtId="0" fontId="2" fillId="12" borderId="0" xfId="0" applyFont="1" applyFill="1" applyAlignment="1">
      <alignment wrapText="1"/>
    </xf>
    <xf numFmtId="0" fontId="2" fillId="4" borderId="0" xfId="0" applyFont="1" applyFill="1" applyAlignment="1">
      <alignment wrapText="1"/>
    </xf>
    <xf numFmtId="0" fontId="8" fillId="8" borderId="0" xfId="0" applyFont="1" applyFill="1" applyAlignment="1">
      <alignment wrapText="1"/>
    </xf>
    <xf numFmtId="10" fontId="2" fillId="0" borderId="0" xfId="0" applyNumberFormat="1" applyFont="1" applyAlignment="1">
      <alignment wrapText="1"/>
    </xf>
    <xf numFmtId="0" fontId="8" fillId="13" borderId="0" xfId="0" applyFont="1" applyFill="1" applyAlignment="1">
      <alignment wrapText="1"/>
    </xf>
    <xf numFmtId="0" fontId="8" fillId="9" borderId="0" xfId="0" applyFont="1" applyFill="1" applyAlignment="1">
      <alignment horizontal="right" wrapText="1"/>
    </xf>
    <xf numFmtId="0" fontId="9" fillId="0" borderId="0" xfId="0" applyFont="1" applyAlignment="1"/>
    <xf numFmtId="0" fontId="9" fillId="0" borderId="0" xfId="0" applyFont="1" applyAlignment="1">
      <alignment horizontal="center"/>
    </xf>
    <xf numFmtId="164" fontId="1" fillId="0" borderId="0" xfId="0" applyNumberFormat="1" applyFont="1" applyAlignment="1">
      <alignment horizontal="center"/>
    </xf>
    <xf numFmtId="164" fontId="2" fillId="0" borderId="0" xfId="0" applyNumberFormat="1" applyFont="1" applyAlignment="1">
      <alignment horizontal="center"/>
    </xf>
    <xf numFmtId="0" fontId="5" fillId="0" borderId="0" xfId="0" applyFont="1" applyAlignment="1">
      <alignment horizontal="center" vertical="center" wrapText="1"/>
    </xf>
    <xf numFmtId="0" fontId="5" fillId="0" borderId="0" xfId="0" applyFont="1" applyAlignment="1">
      <alignment horizontal="left" vertical="center" wrapText="1"/>
    </xf>
    <xf numFmtId="0" fontId="3" fillId="0" borderId="0" xfId="0" applyFont="1" applyAlignment="1">
      <alignment horizontal="left" vertical="top" wrapText="1"/>
    </xf>
    <xf numFmtId="0" fontId="2" fillId="4" borderId="0" xfId="0" applyFont="1" applyFill="1"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2" fillId="10" borderId="0" xfId="0" applyFont="1" applyFill="1" applyAlignment="1">
      <alignment horizontal="left" vertical="top" wrapText="1"/>
    </xf>
    <xf numFmtId="0" fontId="2" fillId="0" borderId="0" xfId="0" applyFont="1" applyAlignment="1">
      <alignment horizontal="left" vertical="top"/>
    </xf>
    <xf numFmtId="0" fontId="0" fillId="0" borderId="0" xfId="0" applyFont="1" applyAlignment="1">
      <alignment horizontal="left" vertical="top"/>
    </xf>
    <xf numFmtId="0" fontId="1" fillId="4" borderId="0" xfId="0" applyFont="1" applyFill="1" applyAlignment="1">
      <alignment horizontal="left" vertical="top" wrapText="1"/>
    </xf>
    <xf numFmtId="0" fontId="2" fillId="12" borderId="0" xfId="0" applyFont="1" applyFill="1" applyAlignment="1">
      <alignment horizontal="left" vertical="top" wrapText="1"/>
    </xf>
    <xf numFmtId="0" fontId="2" fillId="0" borderId="0" xfId="0" applyFont="1" applyAlignment="1">
      <alignment horizontal="left" vertical="center" wrapText="1"/>
    </xf>
    <xf numFmtId="0" fontId="2" fillId="4" borderId="0" xfId="0" applyFont="1" applyFill="1" applyAlignment="1">
      <alignment horizontal="left" vertical="center" wrapText="1"/>
    </xf>
    <xf numFmtId="0" fontId="1" fillId="2" borderId="0" xfId="0" applyFont="1" applyFill="1" applyAlignment="1">
      <alignment horizontal="left" wrapText="1"/>
    </xf>
    <xf numFmtId="0" fontId="2" fillId="5" borderId="0" xfId="0" applyFont="1" applyFill="1" applyAlignment="1">
      <alignment horizontal="left" wrapText="1"/>
    </xf>
    <xf numFmtId="0" fontId="2" fillId="2" borderId="0" xfId="0" applyFont="1" applyFill="1" applyAlignment="1">
      <alignment horizontal="left" wrapText="1"/>
    </xf>
    <xf numFmtId="0" fontId="2" fillId="0" borderId="0" xfId="0" applyFont="1" applyAlignment="1">
      <alignment horizontal="left" wrapText="1"/>
    </xf>
    <xf numFmtId="0" fontId="1" fillId="9" borderId="0" xfId="0" applyFont="1" applyFill="1" applyAlignment="1">
      <alignment horizontal="left" wrapText="1"/>
    </xf>
    <xf numFmtId="0" fontId="2" fillId="11" borderId="0" xfId="0" applyFont="1" applyFill="1" applyAlignment="1">
      <alignment horizontal="left" wrapText="1"/>
    </xf>
    <xf numFmtId="0" fontId="2" fillId="12" borderId="0" xfId="0" applyFont="1" applyFill="1" applyAlignment="1">
      <alignment horizontal="left" wrapText="1"/>
    </xf>
    <xf numFmtId="0" fontId="2" fillId="6" borderId="0" xfId="0" applyFont="1" applyFill="1" applyAlignment="1">
      <alignment horizontal="left" wrapText="1"/>
    </xf>
    <xf numFmtId="0" fontId="6" fillId="0" borderId="0" xfId="0" applyFont="1" applyAlignment="1">
      <alignment horizontal="left" wrapText="1"/>
    </xf>
    <xf numFmtId="0" fontId="8" fillId="0" borderId="0" xfId="0" applyFont="1" applyAlignment="1">
      <alignment horizontal="left" wrapText="1"/>
    </xf>
    <xf numFmtId="0" fontId="0" fillId="0" borderId="0" xfId="0" applyFont="1" applyAlignment="1">
      <alignment horizontal="left"/>
    </xf>
    <xf numFmtId="0" fontId="8" fillId="8" borderId="0" xfId="0" applyFont="1" applyFill="1" applyAlignment="1">
      <alignment horizontal="left" wrapText="1"/>
    </xf>
    <xf numFmtId="0" fontId="8" fillId="13" borderId="0" xfId="0" applyFont="1" applyFill="1" applyAlignment="1">
      <alignment horizontal="left" wrapText="1"/>
    </xf>
    <xf numFmtId="0" fontId="8" fillId="9" borderId="0" xfId="0" applyFont="1" applyFill="1" applyAlignment="1">
      <alignment horizontal="left" wrapText="1"/>
    </xf>
    <xf numFmtId="0" fontId="9" fillId="0" borderId="0" xfId="0" applyFont="1" applyAlignment="1">
      <alignment horizontal="left"/>
    </xf>
    <xf numFmtId="0" fontId="7" fillId="0" borderId="0" xfId="0" applyFont="1" applyAlignment="1">
      <alignment wrapText="1"/>
    </xf>
    <xf numFmtId="0" fontId="0" fillId="0" borderId="0" xfId="0" applyFont="1" applyAlignment="1"/>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16</xdr:col>
      <xdr:colOff>47625</xdr:colOff>
      <xdr:row>4</xdr:row>
      <xdr:rowOff>38100</xdr:rowOff>
    </xdr:to>
    <xdr:sp macro="" textlink="">
      <xdr:nvSpPr>
        <xdr:cNvPr id="1026" name="Text Box 2" hidden="1"/>
        <xdr:cNvSpPr txBox="1">
          <a:spLocks noChangeArrowheads="1"/>
        </xdr:cNvSpPr>
      </xdr:nvSpPr>
      <xdr:spPr bwMode="auto">
        <a:xfrm>
          <a:off x="4210050" y="257175"/>
          <a:ext cx="9667875" cy="4286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16</xdr:col>
      <xdr:colOff>47625</xdr:colOff>
      <xdr:row>4</xdr:row>
      <xdr:rowOff>38100</xdr:rowOff>
    </xdr:to>
    <xdr:sp macro="" textlink="">
      <xdr:nvSpPr>
        <xdr:cNvPr id="1025" name="Text Box 1" hidden="1"/>
        <xdr:cNvSpPr txBox="1">
          <a:spLocks noChangeArrowheads="1"/>
        </xdr:cNvSpPr>
      </xdr:nvSpPr>
      <xdr:spPr bwMode="auto">
        <a:xfrm>
          <a:off x="4210050" y="257175"/>
          <a:ext cx="9667875" cy="4286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A941"/>
  <sheetViews>
    <sheetView topLeftCell="A52" workbookViewId="0">
      <selection activeCell="L63" sqref="L63"/>
    </sheetView>
  </sheetViews>
  <sheetFormatPr defaultColWidth="14.42578125" defaultRowHeight="15.75" customHeight="1"/>
  <cols>
    <col min="1" max="2" width="61" customWidth="1"/>
    <col min="3" max="5" width="28" hidden="1" customWidth="1"/>
    <col min="6" max="6" width="33" hidden="1" customWidth="1"/>
    <col min="7" max="7" width="28" hidden="1" customWidth="1"/>
    <col min="8" max="9" width="23.28515625" hidden="1" customWidth="1"/>
    <col min="10" max="10" width="127.85546875" hidden="1" customWidth="1"/>
    <col min="11" max="11" width="0" hidden="1" customWidth="1"/>
    <col min="12" max="12" width="27.7109375" customWidth="1"/>
  </cols>
  <sheetData>
    <row r="1" spans="1:7" ht="12.75">
      <c r="A1" s="1" t="s">
        <v>0</v>
      </c>
      <c r="B1" s="1" t="s">
        <v>1</v>
      </c>
      <c r="C1" s="2" t="s">
        <v>2</v>
      </c>
      <c r="D1" s="3"/>
      <c r="E1" s="4"/>
      <c r="F1" s="3"/>
      <c r="G1" s="5"/>
    </row>
    <row r="2" spans="1:7" ht="12.75">
      <c r="A2" s="10" t="s">
        <v>5</v>
      </c>
      <c r="B2" s="7"/>
      <c r="C2" s="8"/>
      <c r="D2" s="3"/>
      <c r="E2" s="3"/>
      <c r="F2" s="3"/>
      <c r="G2" s="3"/>
    </row>
    <row r="3" spans="1:7" ht="12.75">
      <c r="A3" s="10" t="s">
        <v>8</v>
      </c>
      <c r="B3" s="7"/>
      <c r="C3" s="8"/>
      <c r="D3" s="3"/>
      <c r="E3" s="3"/>
      <c r="F3" s="3"/>
      <c r="G3" s="3"/>
    </row>
    <row r="4" spans="1:7" ht="12.75">
      <c r="A4" s="10" t="s">
        <v>9</v>
      </c>
      <c r="B4" s="7"/>
      <c r="C4" s="8"/>
      <c r="D4" s="3"/>
      <c r="E4" s="3"/>
      <c r="F4" s="3"/>
      <c r="G4" s="3"/>
    </row>
    <row r="5" spans="1:7" ht="12.75">
      <c r="A5" s="10" t="s">
        <v>10</v>
      </c>
      <c r="B5" s="7"/>
      <c r="C5" s="8"/>
      <c r="D5" s="3"/>
      <c r="E5" s="3"/>
      <c r="F5" s="3"/>
      <c r="G5" s="3"/>
    </row>
    <row r="6" spans="1:7" ht="12.75">
      <c r="A6" s="10" t="s">
        <v>11</v>
      </c>
      <c r="B6" s="7"/>
      <c r="C6" s="8"/>
      <c r="D6" s="3"/>
      <c r="E6" s="3"/>
      <c r="F6" s="3"/>
      <c r="G6" s="3"/>
    </row>
    <row r="7" spans="1:7" ht="12.75">
      <c r="A7" s="10" t="s">
        <v>16</v>
      </c>
      <c r="B7" s="7"/>
      <c r="C7" s="8"/>
      <c r="D7" s="3"/>
      <c r="E7" s="3"/>
      <c r="F7" s="3"/>
      <c r="G7" s="3"/>
    </row>
    <row r="8" spans="1:7" ht="12.75">
      <c r="A8" s="13" t="s">
        <v>18</v>
      </c>
      <c r="B8" s="13"/>
      <c r="C8" s="8"/>
      <c r="D8" s="3"/>
      <c r="E8" s="4" t="s">
        <v>19</v>
      </c>
      <c r="F8" s="3"/>
      <c r="G8" s="3"/>
    </row>
    <row r="9" spans="1:7" ht="25.5">
      <c r="A9" s="10" t="s">
        <v>20</v>
      </c>
      <c r="B9" s="10"/>
      <c r="C9" s="8"/>
      <c r="D9" s="3"/>
      <c r="E9" s="3"/>
      <c r="F9" s="3"/>
      <c r="G9" s="3"/>
    </row>
    <row r="10" spans="1:7" ht="12.75">
      <c r="A10" s="10" t="s">
        <v>21</v>
      </c>
      <c r="B10" s="15" t="b">
        <v>0</v>
      </c>
      <c r="C10" s="8"/>
      <c r="D10" s="3"/>
      <c r="E10" s="3"/>
      <c r="F10" s="3"/>
      <c r="G10" s="3"/>
    </row>
    <row r="11" spans="1:7" ht="12.75">
      <c r="A11" s="10" t="s">
        <v>26</v>
      </c>
      <c r="B11" s="69" t="b">
        <v>0</v>
      </c>
      <c r="C11" s="8"/>
      <c r="D11" s="3"/>
      <c r="E11" s="3"/>
      <c r="F11" s="3"/>
      <c r="G11" s="3"/>
    </row>
    <row r="12" spans="1:7" ht="12.75">
      <c r="A12" s="10" t="s">
        <v>28</v>
      </c>
      <c r="B12" s="69" t="b">
        <v>0</v>
      </c>
      <c r="C12" s="8"/>
      <c r="D12" s="3"/>
      <c r="E12" s="3"/>
      <c r="F12" s="3"/>
      <c r="G12" s="3"/>
    </row>
    <row r="13" spans="1:7" ht="25.5">
      <c r="A13" s="10" t="s">
        <v>31</v>
      </c>
      <c r="B13" s="69" t="b">
        <v>0</v>
      </c>
      <c r="C13" s="8"/>
      <c r="D13" s="3"/>
      <c r="E13" s="3"/>
      <c r="F13" s="3"/>
      <c r="G13" s="3"/>
    </row>
    <row r="14" spans="1:7" ht="12.75">
      <c r="A14" s="10" t="s">
        <v>32</v>
      </c>
      <c r="B14" s="69" t="b">
        <v>0</v>
      </c>
      <c r="C14" s="8"/>
      <c r="D14" s="3"/>
      <c r="E14" s="3"/>
      <c r="F14" s="3"/>
      <c r="G14" s="3"/>
    </row>
    <row r="15" spans="1:7" ht="12.75">
      <c r="A15" s="10" t="s">
        <v>34</v>
      </c>
      <c r="B15" s="15"/>
      <c r="C15" s="8"/>
      <c r="D15" s="3"/>
      <c r="E15" s="3"/>
      <c r="F15" s="3"/>
      <c r="G15" s="3"/>
    </row>
    <row r="16" spans="1:7" ht="12.75">
      <c r="A16" s="10"/>
      <c r="B16" s="10"/>
      <c r="C16" s="8"/>
      <c r="D16" s="3"/>
      <c r="E16" s="3"/>
      <c r="F16" s="3"/>
      <c r="G16" s="3"/>
    </row>
    <row r="17" spans="1:7" ht="12.75">
      <c r="A17" s="13" t="s">
        <v>35</v>
      </c>
      <c r="B17" s="13"/>
      <c r="C17" s="8"/>
      <c r="D17" s="3"/>
      <c r="E17" s="4" t="s">
        <v>19</v>
      </c>
      <c r="F17" s="3"/>
      <c r="G17" s="3"/>
    </row>
    <row r="18" spans="1:7" ht="12.75">
      <c r="A18" s="10" t="s">
        <v>36</v>
      </c>
      <c r="B18" s="10"/>
      <c r="C18" s="8"/>
      <c r="D18" s="3"/>
      <c r="E18" s="3"/>
      <c r="F18" s="3"/>
      <c r="G18" s="3"/>
    </row>
    <row r="19" spans="1:7" ht="38.25" customHeight="1">
      <c r="A19" s="10" t="s">
        <v>37</v>
      </c>
      <c r="B19" s="69" t="b">
        <v>0</v>
      </c>
      <c r="C19" s="8"/>
      <c r="D19" s="3"/>
      <c r="E19" s="19" t="s">
        <v>38</v>
      </c>
      <c r="F19" s="3"/>
      <c r="G19" s="3"/>
    </row>
    <row r="20" spans="1:7" ht="42" customHeight="1">
      <c r="A20" s="10" t="s">
        <v>39</v>
      </c>
      <c r="B20" s="69" t="b">
        <v>0</v>
      </c>
      <c r="C20" s="8"/>
      <c r="D20" s="3"/>
      <c r="E20" s="19" t="s">
        <v>40</v>
      </c>
      <c r="F20" s="3"/>
      <c r="G20" s="3"/>
    </row>
    <row r="21" spans="1:7" ht="36" customHeight="1">
      <c r="A21" s="10" t="s">
        <v>42</v>
      </c>
      <c r="B21" s="69" t="b">
        <v>0</v>
      </c>
      <c r="C21" s="8"/>
      <c r="D21" s="3"/>
      <c r="E21" s="19" t="s">
        <v>43</v>
      </c>
      <c r="F21" s="3"/>
      <c r="G21" s="3"/>
    </row>
    <row r="22" spans="1:7" ht="48.75" customHeight="1">
      <c r="A22" s="10" t="s">
        <v>47</v>
      </c>
      <c r="B22" s="69" t="b">
        <v>0</v>
      </c>
      <c r="C22" s="8"/>
      <c r="D22" s="3"/>
      <c r="E22" s="19" t="s">
        <v>50</v>
      </c>
      <c r="F22" s="3"/>
      <c r="G22" s="3"/>
    </row>
    <row r="23" spans="1:7" ht="50.25" customHeight="1">
      <c r="A23" s="10" t="s">
        <v>53</v>
      </c>
      <c r="B23" s="69" t="b">
        <v>0</v>
      </c>
      <c r="C23" s="8"/>
      <c r="D23" s="3"/>
      <c r="E23" s="19" t="s">
        <v>55</v>
      </c>
      <c r="F23" s="3"/>
      <c r="G23" s="3"/>
    </row>
    <row r="24" spans="1:7" ht="12.75">
      <c r="A24" s="10"/>
      <c r="B24" s="10"/>
      <c r="C24" s="8"/>
      <c r="D24" s="3"/>
      <c r="E24" s="3"/>
      <c r="F24" s="3"/>
      <c r="G24" s="3"/>
    </row>
    <row r="25" spans="1:7" ht="89.25">
      <c r="A25" s="13" t="s">
        <v>57</v>
      </c>
      <c r="B25" s="13"/>
      <c r="C25" s="8"/>
      <c r="D25" s="3"/>
      <c r="E25" s="19" t="s">
        <v>58</v>
      </c>
      <c r="F25" s="10"/>
      <c r="G25" s="3"/>
    </row>
    <row r="26" spans="1:7" ht="25.5">
      <c r="A26" s="10" t="s">
        <v>60</v>
      </c>
      <c r="B26" s="10"/>
      <c r="C26" s="8"/>
      <c r="D26" s="3"/>
      <c r="E26" s="3"/>
      <c r="F26" s="3"/>
      <c r="G26" s="3"/>
    </row>
    <row r="27" spans="1:7" ht="12.75">
      <c r="A27" s="10" t="s">
        <v>63</v>
      </c>
      <c r="B27" s="69" t="b">
        <v>0</v>
      </c>
      <c r="C27" s="25">
        <f>IF(B27,PNTYes1,0)</f>
        <v>0</v>
      </c>
      <c r="D27" s="10"/>
      <c r="E27" s="3"/>
      <c r="F27" s="3"/>
      <c r="G27" s="3"/>
    </row>
    <row r="28" spans="1:7" ht="25.5">
      <c r="A28" s="10" t="s">
        <v>71</v>
      </c>
      <c r="B28" s="69" t="b">
        <v>0</v>
      </c>
      <c r="C28" s="25">
        <f>IF(B28,PNTYes1,0)</f>
        <v>0</v>
      </c>
      <c r="D28" s="3"/>
      <c r="E28" s="3"/>
      <c r="F28" s="3"/>
      <c r="G28" s="3"/>
    </row>
    <row r="29" spans="1:7" ht="12.75">
      <c r="A29" s="10" t="s">
        <v>76</v>
      </c>
      <c r="B29" s="69" t="b">
        <v>0</v>
      </c>
      <c r="C29" s="25">
        <f>IF(B29,PNTYes1,0)</f>
        <v>0</v>
      </c>
      <c r="D29" s="3"/>
      <c r="E29" s="3"/>
      <c r="F29" s="3"/>
      <c r="G29" s="3"/>
    </row>
    <row r="30" spans="1:7" ht="12.75">
      <c r="A30" s="10" t="s">
        <v>81</v>
      </c>
      <c r="B30" s="69" t="b">
        <v>0</v>
      </c>
      <c r="C30" s="25">
        <f>IF(B30,PNTYes1,0)</f>
        <v>0</v>
      </c>
      <c r="D30" s="3"/>
      <c r="E30" s="3"/>
      <c r="F30" s="3"/>
      <c r="G30" s="3"/>
    </row>
    <row r="31" spans="1:7" ht="12.75">
      <c r="A31" s="10" t="s">
        <v>83</v>
      </c>
      <c r="B31" s="69" t="b">
        <v>0</v>
      </c>
      <c r="C31" s="25">
        <f>IF(B31,PNTYes1,0)</f>
        <v>0</v>
      </c>
      <c r="D31" s="3"/>
      <c r="E31" s="3"/>
      <c r="F31" s="3"/>
      <c r="G31" s="3"/>
    </row>
    <row r="32" spans="1:7" ht="12.75">
      <c r="A32" s="10"/>
      <c r="B32" s="10"/>
      <c r="C32" s="8"/>
      <c r="D32" s="3"/>
      <c r="E32" s="3"/>
      <c r="F32" s="3"/>
      <c r="G32" s="3"/>
    </row>
    <row r="33" spans="1:10" ht="37.5">
      <c r="A33" s="97"/>
      <c r="B33" s="98"/>
      <c r="C33" s="29"/>
      <c r="D33" s="3"/>
      <c r="E33" s="3"/>
      <c r="F33" s="3"/>
      <c r="G33" s="3"/>
    </row>
    <row r="34" spans="1:10" ht="12.75">
      <c r="A34" s="30" t="s">
        <v>92</v>
      </c>
      <c r="B34" s="30"/>
      <c r="C34" s="30"/>
      <c r="D34" s="30" t="s">
        <v>95</v>
      </c>
      <c r="E34" s="30" t="s">
        <v>97</v>
      </c>
      <c r="F34" s="30" t="s">
        <v>98</v>
      </c>
      <c r="G34" s="30" t="s">
        <v>99</v>
      </c>
      <c r="H34" s="31" t="s">
        <v>100</v>
      </c>
      <c r="I34" s="33" t="s">
        <v>102</v>
      </c>
      <c r="J34" s="33" t="s">
        <v>105</v>
      </c>
    </row>
    <row r="35" spans="1:10" ht="63.75">
      <c r="A35" s="5" t="s">
        <v>124</v>
      </c>
      <c r="B35" s="69" t="b">
        <v>0</v>
      </c>
      <c r="C35" s="25">
        <f>IF(B35,PNTYes4,0)</f>
        <v>0</v>
      </c>
      <c r="D35" s="35"/>
      <c r="E35" s="36"/>
      <c r="F35" s="35"/>
      <c r="G35" s="37" t="s">
        <v>110</v>
      </c>
      <c r="H35" s="22" t="s">
        <v>113</v>
      </c>
      <c r="I35" s="22" t="s">
        <v>114</v>
      </c>
      <c r="J35" s="19" t="s">
        <v>115</v>
      </c>
    </row>
    <row r="36" spans="1:10" ht="12.75">
      <c r="A36" s="5" t="s">
        <v>132</v>
      </c>
      <c r="B36" s="38"/>
      <c r="C36" s="39"/>
      <c r="D36" s="39"/>
      <c r="E36" s="39"/>
      <c r="F36" s="37"/>
      <c r="G36" s="39"/>
      <c r="H36" s="22"/>
      <c r="I36" s="22" t="s">
        <v>119</v>
      </c>
    </row>
    <row r="37" spans="1:10" ht="25.5">
      <c r="A37" s="5" t="s">
        <v>135</v>
      </c>
      <c r="B37" s="69" t="b">
        <v>0</v>
      </c>
      <c r="C37" s="25">
        <f>IF(B37,PNTYes3,0)</f>
        <v>0</v>
      </c>
      <c r="D37" s="35"/>
      <c r="E37" s="35"/>
      <c r="F37" s="37" t="s">
        <v>110</v>
      </c>
      <c r="G37" s="35"/>
      <c r="H37" s="22" t="s">
        <v>113</v>
      </c>
      <c r="I37" s="22"/>
    </row>
    <row r="38" spans="1:10" ht="12.75">
      <c r="A38" s="5" t="s">
        <v>139</v>
      </c>
      <c r="B38" s="5" t="s">
        <v>23</v>
      </c>
      <c r="C38" s="39">
        <f t="array" ref="C38">INDEX(PNTreversible,MATCH(B38,OPTreversible,0))</f>
        <v>1</v>
      </c>
      <c r="D38" s="37" t="s">
        <v>23</v>
      </c>
      <c r="E38" s="37" t="s">
        <v>62</v>
      </c>
      <c r="F38" s="37" t="s">
        <v>66</v>
      </c>
      <c r="G38" s="37" t="s">
        <v>69</v>
      </c>
      <c r="H38" s="22"/>
      <c r="I38" s="22" t="s">
        <v>114</v>
      </c>
    </row>
    <row r="39" spans="1:10" ht="51">
      <c r="A39" s="5" t="s">
        <v>148</v>
      </c>
      <c r="B39" s="5" t="s">
        <v>73</v>
      </c>
      <c r="C39" s="39">
        <f t="array" ref="C39">INDEX(PNTduration,MATCH(B39,OPTduration,0))</f>
        <v>1</v>
      </c>
      <c r="D39" s="37" t="s">
        <v>73</v>
      </c>
      <c r="E39" s="37" t="s">
        <v>86</v>
      </c>
      <c r="F39" s="37" t="s">
        <v>89</v>
      </c>
      <c r="G39" s="37" t="s">
        <v>93</v>
      </c>
      <c r="H39" s="22"/>
      <c r="I39" s="22"/>
    </row>
    <row r="40" spans="1:10" ht="25.5">
      <c r="A40" s="5" t="s">
        <v>155</v>
      </c>
      <c r="B40" s="38"/>
      <c r="C40" s="39"/>
      <c r="D40" s="37"/>
      <c r="E40" s="37"/>
      <c r="F40" s="37"/>
      <c r="G40" s="37"/>
      <c r="H40" s="22"/>
      <c r="I40" s="22" t="s">
        <v>119</v>
      </c>
    </row>
    <row r="41" spans="1:10" ht="25.5">
      <c r="A41" s="5" t="s">
        <v>158</v>
      </c>
      <c r="B41" s="5" t="s">
        <v>116</v>
      </c>
      <c r="C41" s="39">
        <f t="array" ref="C41">INDEX(PNTimpact,MATCH(B41,OPTimpact,0))</f>
        <v>4</v>
      </c>
      <c r="D41" s="37" t="s">
        <v>101</v>
      </c>
      <c r="E41" s="37" t="s">
        <v>108</v>
      </c>
      <c r="F41" s="37" t="s">
        <v>111</v>
      </c>
      <c r="G41" s="37" t="s">
        <v>116</v>
      </c>
      <c r="H41" s="40" t="s">
        <v>120</v>
      </c>
      <c r="I41" s="40" t="s">
        <v>114</v>
      </c>
      <c r="J41" s="41" t="s">
        <v>121</v>
      </c>
    </row>
    <row r="42" spans="1:10" ht="25.5">
      <c r="A42" s="5" t="s">
        <v>155</v>
      </c>
      <c r="B42" s="38"/>
      <c r="C42" s="39"/>
      <c r="D42" s="39"/>
      <c r="E42" s="39"/>
      <c r="F42" s="39"/>
      <c r="G42" s="39"/>
      <c r="I42" s="22" t="s">
        <v>119</v>
      </c>
    </row>
    <row r="43" spans="1:10" ht="25.5">
      <c r="A43" s="5" t="s">
        <v>165</v>
      </c>
      <c r="B43" s="5" t="s">
        <v>101</v>
      </c>
      <c r="C43" s="39">
        <f t="array" ref="C43">INDEX(PNTimpact,MATCH(B43,OPTimpact,0))</f>
        <v>1</v>
      </c>
      <c r="D43" s="37" t="s">
        <v>101</v>
      </c>
      <c r="E43" s="37" t="s">
        <v>122</v>
      </c>
      <c r="F43" s="37" t="s">
        <v>123</v>
      </c>
      <c r="G43" s="37" t="s">
        <v>116</v>
      </c>
      <c r="H43" s="40" t="s">
        <v>120</v>
      </c>
      <c r="I43" s="40" t="s">
        <v>114</v>
      </c>
      <c r="J43" s="40"/>
    </row>
    <row r="44" spans="1:10" ht="25.5">
      <c r="A44" s="5" t="s">
        <v>173</v>
      </c>
      <c r="B44" s="43"/>
      <c r="C44" s="39"/>
      <c r="D44" s="39"/>
      <c r="E44" s="39"/>
      <c r="F44" s="39"/>
      <c r="G44" s="39"/>
      <c r="I44" s="22" t="s">
        <v>119</v>
      </c>
    </row>
    <row r="45" spans="1:10" ht="25.5">
      <c r="A45" s="5" t="s">
        <v>176</v>
      </c>
      <c r="B45" s="5" t="s">
        <v>111</v>
      </c>
      <c r="C45" s="39">
        <f t="array" ref="C45">INDEX(PNTimpact,MATCH(B45,OPTimpact,0))</f>
        <v>3</v>
      </c>
      <c r="D45" s="37" t="s">
        <v>101</v>
      </c>
      <c r="E45" s="37" t="s">
        <v>122</v>
      </c>
      <c r="F45" s="37" t="s">
        <v>123</v>
      </c>
      <c r="G45" s="37" t="s">
        <v>116</v>
      </c>
      <c r="H45" s="40" t="s">
        <v>120</v>
      </c>
      <c r="I45" s="40" t="s">
        <v>114</v>
      </c>
      <c r="J45" s="40"/>
    </row>
    <row r="46" spans="1:10" ht="25.5">
      <c r="A46" s="5" t="s">
        <v>173</v>
      </c>
      <c r="B46" s="43"/>
      <c r="C46" s="39"/>
      <c r="D46" s="39"/>
      <c r="E46" s="39"/>
      <c r="F46" s="39"/>
      <c r="G46" s="39"/>
      <c r="I46" s="22" t="s">
        <v>119</v>
      </c>
    </row>
    <row r="47" spans="1:10" ht="25.5">
      <c r="A47" s="5" t="s">
        <v>184</v>
      </c>
      <c r="B47" s="5" t="s">
        <v>116</v>
      </c>
      <c r="C47" s="39">
        <f t="array" ref="C47">INDEX(PNTimpact,MATCH(B47,OPTimpact,0))</f>
        <v>4</v>
      </c>
      <c r="D47" s="37" t="s">
        <v>101</v>
      </c>
      <c r="E47" s="37" t="s">
        <v>122</v>
      </c>
      <c r="F47" s="37" t="s">
        <v>123</v>
      </c>
      <c r="G47" s="37" t="s">
        <v>116</v>
      </c>
      <c r="H47" s="40" t="s">
        <v>120</v>
      </c>
      <c r="I47" s="40" t="s">
        <v>114</v>
      </c>
      <c r="J47" s="40" t="s">
        <v>145</v>
      </c>
    </row>
    <row r="48" spans="1:10" ht="25.5">
      <c r="A48" s="5" t="s">
        <v>173</v>
      </c>
      <c r="B48" s="38"/>
      <c r="C48" s="39"/>
      <c r="D48" s="39"/>
      <c r="E48" s="39"/>
      <c r="F48" s="39"/>
      <c r="G48" s="39"/>
      <c r="I48" s="22" t="s">
        <v>119</v>
      </c>
    </row>
    <row r="49" spans="1:27" ht="12.75">
      <c r="A49" s="13" t="s">
        <v>191</v>
      </c>
      <c r="B49" s="13"/>
      <c r="C49" s="8"/>
      <c r="D49" s="3"/>
      <c r="E49" s="5"/>
      <c r="F49" s="3"/>
      <c r="G49" s="3"/>
    </row>
    <row r="50" spans="1:27" ht="12.75">
      <c r="A50" s="3"/>
      <c r="B50" s="3"/>
      <c r="C50" s="8"/>
      <c r="D50" s="3"/>
      <c r="E50" s="3"/>
      <c r="F50" s="3"/>
      <c r="G50" s="3"/>
    </row>
    <row r="51" spans="1:27" ht="12.75">
      <c r="A51" s="44" t="s">
        <v>192</v>
      </c>
      <c r="B51" s="44"/>
      <c r="C51" s="8"/>
      <c r="D51" s="3"/>
      <c r="E51" s="3"/>
      <c r="F51" s="3"/>
      <c r="G51" s="3"/>
      <c r="H51" s="3"/>
      <c r="I51" s="3"/>
      <c r="J51" s="3"/>
      <c r="K51" s="3"/>
      <c r="L51" s="3"/>
      <c r="M51" s="3"/>
      <c r="N51" s="3"/>
      <c r="O51" s="3"/>
      <c r="P51" s="3"/>
      <c r="Q51" s="3"/>
      <c r="R51" s="3"/>
      <c r="S51" s="3"/>
      <c r="T51" s="3"/>
      <c r="U51" s="3"/>
      <c r="V51" s="3"/>
      <c r="W51" s="3"/>
      <c r="X51" s="3"/>
      <c r="Y51" s="3"/>
      <c r="Z51" s="3"/>
      <c r="AA51" s="3"/>
    </row>
    <row r="52" spans="1:27" ht="25.5">
      <c r="A52" s="10" t="s">
        <v>194</v>
      </c>
      <c r="B52" s="69" t="b">
        <v>0</v>
      </c>
      <c r="C52" s="25">
        <f>IF(B52,PNTYes4,0)</f>
        <v>0</v>
      </c>
      <c r="D52" s="45"/>
      <c r="E52" s="46"/>
      <c r="F52" s="46"/>
      <c r="G52" s="10" t="s">
        <v>110</v>
      </c>
      <c r="H52" s="22" t="s">
        <v>113</v>
      </c>
      <c r="I52" s="22" t="s">
        <v>114</v>
      </c>
    </row>
    <row r="53" spans="1:27" ht="25.5">
      <c r="A53" s="10" t="s">
        <v>198</v>
      </c>
      <c r="B53" s="10" t="s">
        <v>136</v>
      </c>
      <c r="C53" s="39">
        <f t="array" ref="C53">INDEX(PNTsecurityclass,MATCH(B53,OPTsecurityclass,0))</f>
        <v>0</v>
      </c>
      <c r="D53" s="10" t="s">
        <v>118</v>
      </c>
      <c r="E53" s="10" t="s">
        <v>128</v>
      </c>
      <c r="F53" s="10" t="s">
        <v>172</v>
      </c>
      <c r="G53" s="10" t="s">
        <v>133</v>
      </c>
      <c r="H53" s="10" t="s">
        <v>136</v>
      </c>
      <c r="I53" s="10" t="s">
        <v>114</v>
      </c>
      <c r="J53" s="3"/>
      <c r="K53" s="3"/>
      <c r="L53" s="3"/>
      <c r="M53" s="3"/>
      <c r="N53" s="3"/>
      <c r="O53" s="3"/>
      <c r="P53" s="3"/>
      <c r="Q53" s="3"/>
      <c r="R53" s="3"/>
      <c r="S53" s="3"/>
      <c r="T53" s="3"/>
      <c r="U53" s="3"/>
      <c r="V53" s="3"/>
      <c r="W53" s="3"/>
      <c r="X53" s="3"/>
      <c r="Y53" s="3"/>
      <c r="Z53" s="3"/>
      <c r="AA53" s="3"/>
    </row>
    <row r="54" spans="1:27" ht="25.5">
      <c r="A54" s="10" t="s">
        <v>199</v>
      </c>
      <c r="B54" s="10" t="s">
        <v>150</v>
      </c>
      <c r="C54" s="39">
        <f t="array" ref="C54">INDEX(PNTcontroldata,MATCH(B54,OPTcontroldata,0))</f>
        <v>0</v>
      </c>
      <c r="D54" s="10" t="s">
        <v>138</v>
      </c>
      <c r="E54" s="43"/>
      <c r="F54" s="10" t="s">
        <v>143</v>
      </c>
      <c r="G54" s="10" t="s">
        <v>146</v>
      </c>
      <c r="H54" s="10" t="s">
        <v>150</v>
      </c>
      <c r="I54" s="10" t="s">
        <v>114</v>
      </c>
      <c r="J54" s="3"/>
      <c r="K54" s="3"/>
      <c r="L54" s="3"/>
      <c r="M54" s="3"/>
      <c r="N54" s="3"/>
      <c r="O54" s="3"/>
      <c r="P54" s="3"/>
      <c r="Q54" s="3"/>
      <c r="R54" s="3"/>
      <c r="S54" s="3"/>
      <c r="T54" s="3"/>
      <c r="U54" s="3"/>
      <c r="V54" s="3"/>
      <c r="W54" s="3"/>
      <c r="X54" s="3"/>
      <c r="Y54" s="3"/>
      <c r="Z54" s="3"/>
      <c r="AA54" s="3"/>
    </row>
    <row r="55" spans="1:27" ht="12.75">
      <c r="A55" s="10" t="s">
        <v>204</v>
      </c>
      <c r="B55" s="69" t="b">
        <v>0</v>
      </c>
      <c r="C55" s="25">
        <f>IF(B55,PNTYes4,0)</f>
        <v>0</v>
      </c>
      <c r="D55" s="45" t="s">
        <v>187</v>
      </c>
      <c r="E55" s="46"/>
      <c r="F55" s="46"/>
      <c r="G55" s="10" t="s">
        <v>110</v>
      </c>
      <c r="H55" s="10" t="s">
        <v>113</v>
      </c>
      <c r="I55" s="3"/>
      <c r="J55" s="3"/>
      <c r="K55" s="3"/>
      <c r="L55" s="3"/>
      <c r="M55" s="3"/>
      <c r="N55" s="3"/>
      <c r="O55" s="3"/>
      <c r="P55" s="3"/>
      <c r="Q55" s="3"/>
      <c r="R55" s="3"/>
      <c r="S55" s="3"/>
      <c r="T55" s="3"/>
      <c r="U55" s="3"/>
      <c r="V55" s="3"/>
      <c r="W55" s="3"/>
      <c r="X55" s="3"/>
      <c r="Y55" s="3"/>
      <c r="Z55" s="3"/>
      <c r="AA55" s="3"/>
    </row>
    <row r="56" spans="1:27" ht="25.5">
      <c r="A56" s="10" t="s">
        <v>206</v>
      </c>
      <c r="B56" s="69" t="b">
        <v>0</v>
      </c>
      <c r="C56" s="25">
        <f>IF(B56,PNTYes4,0)</f>
        <v>0</v>
      </c>
      <c r="D56" s="46"/>
      <c r="E56" s="46"/>
      <c r="F56" s="46"/>
      <c r="G56" s="10" t="s">
        <v>110</v>
      </c>
      <c r="H56" s="10" t="s">
        <v>113</v>
      </c>
      <c r="I56" s="10" t="s">
        <v>114</v>
      </c>
      <c r="J56" s="3"/>
      <c r="K56" s="3"/>
      <c r="L56" s="3"/>
      <c r="M56" s="3"/>
      <c r="N56" s="3"/>
      <c r="O56" s="3"/>
      <c r="P56" s="3"/>
      <c r="Q56" s="3"/>
      <c r="R56" s="3"/>
      <c r="S56" s="3"/>
      <c r="T56" s="3"/>
      <c r="U56" s="3"/>
      <c r="V56" s="3"/>
      <c r="W56" s="3"/>
      <c r="X56" s="3"/>
      <c r="Y56" s="3"/>
      <c r="Z56" s="3"/>
      <c r="AA56" s="3"/>
    </row>
    <row r="57" spans="1:27" ht="12.75">
      <c r="A57" s="10" t="s">
        <v>207</v>
      </c>
      <c r="B57" s="69" t="b">
        <v>0</v>
      </c>
      <c r="C57" s="25">
        <f>IF(B57,PNTYes4,0)</f>
        <v>0</v>
      </c>
      <c r="D57" s="46"/>
      <c r="E57" s="46"/>
      <c r="F57" s="46"/>
      <c r="G57" s="10" t="s">
        <v>110</v>
      </c>
      <c r="H57" s="10" t="s">
        <v>113</v>
      </c>
      <c r="I57" s="10" t="s">
        <v>114</v>
      </c>
      <c r="J57" s="3"/>
      <c r="K57" s="3"/>
      <c r="L57" s="3"/>
      <c r="M57" s="3"/>
      <c r="N57" s="3"/>
      <c r="O57" s="3"/>
      <c r="P57" s="3"/>
      <c r="Q57" s="3"/>
      <c r="R57" s="3"/>
      <c r="S57" s="3"/>
      <c r="T57" s="3"/>
      <c r="U57" s="3"/>
      <c r="V57" s="3"/>
      <c r="W57" s="3"/>
      <c r="X57" s="3"/>
      <c r="Y57" s="3"/>
      <c r="Z57" s="3"/>
      <c r="AA57" s="3"/>
    </row>
    <row r="58" spans="1:27" ht="25.5">
      <c r="A58" s="5" t="s">
        <v>208</v>
      </c>
      <c r="B58" s="5" t="s">
        <v>161</v>
      </c>
      <c r="C58" s="39">
        <f t="array" ref="C58">INDEX(PNTsourcedata,MATCH(B58,OPTsourcedata,0))</f>
        <v>3</v>
      </c>
      <c r="D58" s="5" t="s">
        <v>153</v>
      </c>
      <c r="E58" s="5" t="s">
        <v>159</v>
      </c>
      <c r="F58" s="5" t="s">
        <v>161</v>
      </c>
      <c r="G58" s="5" t="s">
        <v>163</v>
      </c>
      <c r="H58" s="5"/>
      <c r="I58" s="10" t="s">
        <v>114</v>
      </c>
      <c r="J58" s="3"/>
      <c r="K58" s="3"/>
      <c r="L58" s="3"/>
      <c r="M58" s="3"/>
      <c r="N58" s="3"/>
      <c r="O58" s="3"/>
      <c r="P58" s="3"/>
      <c r="Q58" s="3"/>
      <c r="R58" s="3"/>
      <c r="S58" s="3"/>
      <c r="T58" s="3"/>
      <c r="U58" s="3"/>
      <c r="V58" s="3"/>
      <c r="W58" s="3"/>
      <c r="X58" s="3"/>
      <c r="Y58" s="3"/>
      <c r="Z58" s="3"/>
      <c r="AA58" s="3"/>
    </row>
    <row r="59" spans="1:27" ht="25.5">
      <c r="A59" s="5" t="s">
        <v>210</v>
      </c>
      <c r="B59" s="5" t="s">
        <v>159</v>
      </c>
      <c r="C59" s="39">
        <f t="array" ref="C59">INDEX(PNTsourcedata,MATCH(B59,OPTsourcedata,0))</f>
        <v>2</v>
      </c>
      <c r="D59" s="5" t="s">
        <v>153</v>
      </c>
      <c r="E59" s="5" t="s">
        <v>201</v>
      </c>
      <c r="F59" s="5" t="s">
        <v>202</v>
      </c>
      <c r="G59" s="5" t="s">
        <v>203</v>
      </c>
      <c r="H59" s="5"/>
      <c r="I59" s="10"/>
      <c r="J59" s="3"/>
      <c r="K59" s="3"/>
      <c r="L59" s="3"/>
      <c r="M59" s="3"/>
      <c r="N59" s="3"/>
      <c r="O59" s="3"/>
      <c r="P59" s="3"/>
      <c r="Q59" s="3"/>
      <c r="R59" s="3"/>
      <c r="S59" s="3"/>
      <c r="T59" s="3"/>
      <c r="U59" s="3"/>
      <c r="V59" s="3"/>
      <c r="W59" s="3"/>
      <c r="X59" s="3"/>
      <c r="Y59" s="3"/>
      <c r="Z59" s="3"/>
      <c r="AA59" s="3"/>
    </row>
    <row r="60" spans="1:27" ht="12.75">
      <c r="A60" s="44" t="s">
        <v>211</v>
      </c>
      <c r="B60" s="44"/>
      <c r="C60" s="50"/>
      <c r="D60" s="51"/>
      <c r="E60" s="51"/>
      <c r="F60" s="51"/>
      <c r="G60" s="51"/>
      <c r="H60" s="51"/>
      <c r="I60" s="51"/>
      <c r="J60" s="3"/>
      <c r="K60" s="3"/>
      <c r="L60" s="3"/>
      <c r="M60" s="3"/>
      <c r="N60" s="3"/>
      <c r="O60" s="3"/>
      <c r="P60" s="3"/>
      <c r="Q60" s="3"/>
      <c r="R60" s="3"/>
      <c r="S60" s="3"/>
      <c r="T60" s="3"/>
      <c r="U60" s="3"/>
      <c r="V60" s="3"/>
      <c r="W60" s="3"/>
      <c r="X60" s="3"/>
      <c r="Y60" s="3"/>
      <c r="Z60" s="3"/>
      <c r="AA60" s="3"/>
    </row>
    <row r="61" spans="1:27" ht="25.5">
      <c r="A61" s="10" t="s">
        <v>213</v>
      </c>
      <c r="B61" s="69" t="b">
        <v>0</v>
      </c>
      <c r="C61" s="25">
        <f>IF(B61,PNTYes4,0)</f>
        <v>0</v>
      </c>
      <c r="D61" s="46"/>
      <c r="E61" s="46"/>
      <c r="F61" s="46"/>
      <c r="G61" s="10" t="s">
        <v>110</v>
      </c>
      <c r="H61" s="10" t="s">
        <v>113</v>
      </c>
      <c r="I61" s="10" t="s">
        <v>114</v>
      </c>
      <c r="J61" s="3"/>
      <c r="K61" s="3"/>
      <c r="L61" s="3"/>
      <c r="M61" s="3"/>
      <c r="N61" s="3"/>
      <c r="O61" s="3"/>
      <c r="P61" s="3"/>
      <c r="Q61" s="3"/>
      <c r="R61" s="3"/>
      <c r="S61" s="3"/>
      <c r="T61" s="3"/>
      <c r="U61" s="3"/>
      <c r="V61" s="3"/>
      <c r="W61" s="3"/>
      <c r="X61" s="3"/>
      <c r="Y61" s="3"/>
      <c r="Z61" s="3"/>
      <c r="AA61" s="3"/>
    </row>
    <row r="62" spans="1:27" ht="12.75">
      <c r="A62" s="10" t="s">
        <v>215</v>
      </c>
      <c r="B62" s="20" t="s">
        <v>170</v>
      </c>
      <c r="C62" s="39">
        <f t="array" ref="C62">INDEX(PNTunstructdata,MATCH(B62,OPTunstructdata,0))</f>
        <v>4</v>
      </c>
      <c r="D62" s="46"/>
      <c r="E62" s="10" t="s">
        <v>166</v>
      </c>
      <c r="F62" s="46"/>
      <c r="G62" s="10" t="s">
        <v>170</v>
      </c>
      <c r="H62" s="3"/>
      <c r="I62" s="3"/>
      <c r="J62" s="3"/>
      <c r="K62" s="3"/>
      <c r="L62" s="3"/>
      <c r="M62" s="3"/>
      <c r="N62" s="3"/>
      <c r="O62" s="3"/>
      <c r="P62" s="3"/>
      <c r="Q62" s="3"/>
      <c r="R62" s="3"/>
      <c r="S62" s="3"/>
      <c r="T62" s="3"/>
      <c r="U62" s="3"/>
      <c r="V62" s="3"/>
      <c r="W62" s="3"/>
      <c r="X62" s="3"/>
      <c r="Y62" s="3"/>
      <c r="Z62" s="3"/>
      <c r="AA62" s="3"/>
    </row>
    <row r="63" spans="1:27" ht="30">
      <c r="A63" s="52" t="s">
        <v>220</v>
      </c>
      <c r="B63" s="52">
        <f>SUM(C26:C62)</f>
        <v>23</v>
      </c>
      <c r="C63" s="53" t="e">
        <f>SUM (C26:C62)</f>
        <v>#NAME?</v>
      </c>
      <c r="D63" s="54" t="s">
        <v>212</v>
      </c>
      <c r="E63" s="3"/>
      <c r="F63" s="3"/>
      <c r="G63" s="3"/>
      <c r="H63" s="3"/>
      <c r="I63" s="3"/>
      <c r="J63" s="3"/>
      <c r="K63" s="3"/>
      <c r="L63" s="3"/>
      <c r="M63" s="3"/>
      <c r="N63" s="3"/>
      <c r="O63" s="3"/>
      <c r="P63" s="3"/>
      <c r="Q63" s="3"/>
      <c r="R63" s="3"/>
      <c r="S63" s="3"/>
      <c r="T63" s="3"/>
      <c r="U63" s="3"/>
      <c r="V63" s="3"/>
      <c r="W63" s="3"/>
      <c r="X63" s="3"/>
      <c r="Y63" s="3"/>
      <c r="Z63" s="3"/>
      <c r="AA63" s="3"/>
    </row>
    <row r="64" spans="1:27" ht="12.75">
      <c r="C64" s="55"/>
    </row>
    <row r="65" spans="1:27" ht="12.75">
      <c r="A65" s="30" t="s">
        <v>222</v>
      </c>
      <c r="B65" s="30"/>
      <c r="C65" s="30"/>
      <c r="D65" s="56" t="s">
        <v>216</v>
      </c>
      <c r="E65" s="56" t="s">
        <v>217</v>
      </c>
      <c r="F65" s="56" t="s">
        <v>218</v>
      </c>
      <c r="G65" s="5"/>
      <c r="H65" s="3"/>
      <c r="I65" s="3"/>
      <c r="J65" s="3"/>
      <c r="K65" s="3"/>
      <c r="L65" s="3"/>
      <c r="M65" s="3"/>
      <c r="N65" s="3"/>
      <c r="O65" s="3"/>
      <c r="P65" s="3"/>
      <c r="Q65" s="3"/>
      <c r="R65" s="3"/>
      <c r="S65" s="3"/>
      <c r="T65" s="3"/>
      <c r="U65" s="3"/>
      <c r="V65" s="3"/>
      <c r="W65" s="3"/>
      <c r="X65" s="3"/>
      <c r="Y65" s="3"/>
      <c r="Z65" s="3"/>
      <c r="AA65" s="3"/>
    </row>
    <row r="66" spans="1:27" ht="12.75">
      <c r="A66" s="13" t="s">
        <v>224</v>
      </c>
      <c r="B66" s="13"/>
      <c r="C66" s="57"/>
      <c r="D66" s="58"/>
      <c r="E66" s="58"/>
      <c r="F66" s="58"/>
      <c r="G66" s="58"/>
      <c r="H66" s="3"/>
      <c r="I66" s="3"/>
      <c r="J66" s="3"/>
      <c r="K66" s="3"/>
      <c r="L66" s="3"/>
      <c r="M66" s="3"/>
      <c r="N66" s="3"/>
      <c r="O66" s="3"/>
      <c r="P66" s="3"/>
      <c r="Q66" s="3"/>
      <c r="R66" s="3"/>
      <c r="S66" s="3"/>
      <c r="T66" s="3"/>
      <c r="U66" s="3"/>
      <c r="V66" s="3"/>
      <c r="W66" s="3"/>
      <c r="X66" s="3"/>
      <c r="Y66" s="3"/>
      <c r="Z66" s="3"/>
      <c r="AA66" s="3"/>
    </row>
    <row r="67" spans="1:27" ht="51">
      <c r="A67" s="5" t="s">
        <v>225</v>
      </c>
      <c r="B67" s="69" t="b">
        <v>0</v>
      </c>
      <c r="C67" s="25">
        <f>IF(B67,PNTYes2,0)</f>
        <v>0</v>
      </c>
      <c r="D67" s="10" t="s">
        <v>113</v>
      </c>
      <c r="E67" s="46"/>
      <c r="F67" s="10" t="s">
        <v>110</v>
      </c>
      <c r="G67" s="3"/>
      <c r="H67" s="3"/>
      <c r="I67" s="3"/>
      <c r="J67" s="3"/>
      <c r="K67" s="3"/>
      <c r="L67" s="3"/>
      <c r="M67" s="3"/>
      <c r="N67" s="3"/>
      <c r="O67" s="3"/>
      <c r="P67" s="3"/>
      <c r="Q67" s="3"/>
      <c r="R67" s="3"/>
      <c r="S67" s="3"/>
      <c r="T67" s="3"/>
      <c r="U67" s="3"/>
      <c r="V67" s="3"/>
      <c r="W67" s="3"/>
      <c r="X67" s="3"/>
      <c r="Y67" s="3"/>
      <c r="Z67" s="3"/>
      <c r="AA67" s="3"/>
    </row>
    <row r="68" spans="1:27" ht="25.5">
      <c r="A68" s="5" t="s">
        <v>227</v>
      </c>
      <c r="B68" s="69" t="b">
        <v>0</v>
      </c>
      <c r="C68" s="25">
        <f>IF(B68,PNTYes1,0)</f>
        <v>0</v>
      </c>
      <c r="D68" s="10" t="s">
        <v>113</v>
      </c>
      <c r="E68" s="10" t="s">
        <v>110</v>
      </c>
      <c r="F68" s="59"/>
      <c r="G68" s="3"/>
    </row>
    <row r="69" spans="1:27" ht="12.75">
      <c r="A69" s="5" t="s">
        <v>229</v>
      </c>
      <c r="B69" s="69" t="b">
        <v>0</v>
      </c>
      <c r="C69" s="25">
        <f>IF(B69,PNTYes1,0)</f>
        <v>0</v>
      </c>
      <c r="D69" s="10" t="s">
        <v>113</v>
      </c>
      <c r="E69" s="10" t="s">
        <v>110</v>
      </c>
      <c r="F69" s="46"/>
      <c r="G69" s="3"/>
    </row>
    <row r="70" spans="1:27" ht="25.5">
      <c r="A70" s="5" t="s">
        <v>231</v>
      </c>
      <c r="B70" s="69" t="b">
        <v>0</v>
      </c>
      <c r="C70" s="25">
        <f>IF(B70,PNTYes2,0)</f>
        <v>0</v>
      </c>
      <c r="D70" s="10" t="s">
        <v>113</v>
      </c>
      <c r="E70" s="46"/>
      <c r="F70" s="10" t="s">
        <v>110</v>
      </c>
      <c r="G70" s="3"/>
    </row>
    <row r="71" spans="1:27" ht="25.5">
      <c r="A71" s="5" t="s">
        <v>232</v>
      </c>
      <c r="B71" s="69" t="b">
        <v>0</v>
      </c>
      <c r="C71" s="25">
        <f>IF(B71,PNTYes2,0)</f>
        <v>0</v>
      </c>
      <c r="D71" s="10" t="s">
        <v>113</v>
      </c>
      <c r="E71" s="59"/>
      <c r="F71" s="10" t="s">
        <v>110</v>
      </c>
    </row>
    <row r="72" spans="1:27" ht="15" customHeight="1">
      <c r="A72" s="5" t="s">
        <v>235</v>
      </c>
      <c r="B72" s="69" t="b">
        <v>0</v>
      </c>
      <c r="C72" s="25">
        <f>IF(B72,PNTYes2,0)</f>
        <v>0</v>
      </c>
      <c r="D72" s="5" t="s">
        <v>113</v>
      </c>
      <c r="E72" s="45"/>
      <c r="F72" s="5" t="s">
        <v>110</v>
      </c>
      <c r="G72" s="60"/>
      <c r="H72" s="24"/>
      <c r="I72" s="24"/>
      <c r="J72" s="24"/>
      <c r="K72" s="24"/>
      <c r="L72" s="24"/>
      <c r="M72" s="24"/>
      <c r="N72" s="24"/>
      <c r="O72" s="24"/>
      <c r="P72" s="24"/>
      <c r="Q72" s="24"/>
      <c r="R72" s="24"/>
      <c r="S72" s="24"/>
      <c r="T72" s="24"/>
      <c r="U72" s="24"/>
      <c r="V72" s="24"/>
      <c r="W72" s="24"/>
      <c r="X72" s="24"/>
      <c r="Y72" s="24"/>
      <c r="Z72" s="24"/>
      <c r="AA72" s="24"/>
    </row>
    <row r="73" spans="1:27" ht="12.75">
      <c r="A73" s="13" t="s">
        <v>237</v>
      </c>
      <c r="B73" s="13"/>
      <c r="C73" s="57"/>
      <c r="D73" s="58"/>
      <c r="E73" s="13"/>
      <c r="F73" s="58"/>
      <c r="G73" s="58"/>
    </row>
    <row r="74" spans="1:27" ht="25.5">
      <c r="A74" s="5" t="s">
        <v>238</v>
      </c>
      <c r="B74" s="69" t="b">
        <v>0</v>
      </c>
      <c r="C74" s="25">
        <f>IF(B74,PNTYes2,0)</f>
        <v>0</v>
      </c>
      <c r="D74" s="10" t="s">
        <v>113</v>
      </c>
      <c r="E74" s="46"/>
      <c r="F74" s="10" t="s">
        <v>110</v>
      </c>
      <c r="G74" s="3"/>
    </row>
    <row r="75" spans="1:27" ht="25.5">
      <c r="A75" s="5" t="s">
        <v>240</v>
      </c>
      <c r="B75" s="69" t="b">
        <v>0</v>
      </c>
      <c r="C75" s="25">
        <f>IF(B75,PNTYes2,0)</f>
        <v>0</v>
      </c>
      <c r="D75" s="10" t="s">
        <v>113</v>
      </c>
      <c r="E75" s="46"/>
      <c r="F75" s="10" t="s">
        <v>110</v>
      </c>
      <c r="G75" s="3"/>
    </row>
    <row r="76" spans="1:27" ht="25.5">
      <c r="A76" s="5" t="s">
        <v>242</v>
      </c>
      <c r="B76" s="69" t="b">
        <v>0</v>
      </c>
      <c r="C76" s="25">
        <f>IF(B76,PNTYes1,0)</f>
        <v>0</v>
      </c>
      <c r="D76" s="10" t="s">
        <v>113</v>
      </c>
      <c r="E76" s="10" t="s">
        <v>110</v>
      </c>
      <c r="F76" s="46"/>
      <c r="G76" s="3"/>
    </row>
    <row r="77" spans="1:27" ht="12.75">
      <c r="A77" s="5" t="s">
        <v>244</v>
      </c>
      <c r="B77" s="69" t="b">
        <v>0</v>
      </c>
      <c r="C77" s="25">
        <f>IF(B77,PNTYes1,0)</f>
        <v>0</v>
      </c>
      <c r="D77" s="10" t="s">
        <v>113</v>
      </c>
      <c r="E77" s="10" t="s">
        <v>110</v>
      </c>
      <c r="F77" s="46"/>
      <c r="G77" s="3"/>
    </row>
    <row r="78" spans="1:27" ht="25.5">
      <c r="A78" s="5" t="s">
        <v>246</v>
      </c>
      <c r="B78" s="69" t="b">
        <v>0</v>
      </c>
      <c r="C78" s="25">
        <f>IF(B78,PNTYes2,0)</f>
        <v>0</v>
      </c>
      <c r="D78" s="10" t="s">
        <v>113</v>
      </c>
      <c r="E78" s="46"/>
      <c r="F78" s="10" t="s">
        <v>110</v>
      </c>
      <c r="G78" s="3"/>
    </row>
    <row r="79" spans="1:27" ht="25.5">
      <c r="A79" s="5" t="s">
        <v>248</v>
      </c>
      <c r="B79" s="69" t="b">
        <v>0</v>
      </c>
      <c r="C79" s="25">
        <f>IF(B79,PNTYes1,0)</f>
        <v>0</v>
      </c>
      <c r="D79" s="10" t="s">
        <v>113</v>
      </c>
      <c r="E79" s="10" t="s">
        <v>110</v>
      </c>
      <c r="F79" s="46"/>
      <c r="G79" s="3"/>
    </row>
    <row r="80" spans="1:27" ht="12.75">
      <c r="A80" s="5" t="s">
        <v>250</v>
      </c>
      <c r="B80" s="69" t="b">
        <v>0</v>
      </c>
      <c r="C80" s="25">
        <f>IF(B80,PNTYes1,0)</f>
        <v>0</v>
      </c>
      <c r="D80" s="10" t="s">
        <v>113</v>
      </c>
      <c r="E80" s="10" t="s">
        <v>110</v>
      </c>
      <c r="F80" s="46"/>
      <c r="G80" s="3"/>
    </row>
    <row r="81" spans="1:7" ht="25.5">
      <c r="A81" s="5" t="s">
        <v>252</v>
      </c>
      <c r="B81" s="69" t="b">
        <v>0</v>
      </c>
      <c r="C81" s="25">
        <f>IF(B81,PNTYes2,0)</f>
        <v>0</v>
      </c>
      <c r="D81" s="10" t="s">
        <v>113</v>
      </c>
      <c r="E81" s="46"/>
      <c r="F81" s="10" t="s">
        <v>110</v>
      </c>
      <c r="G81" s="3"/>
    </row>
    <row r="82" spans="1:7" ht="12.75">
      <c r="A82" s="10" t="s">
        <v>254</v>
      </c>
      <c r="B82" s="69" t="b">
        <v>0</v>
      </c>
      <c r="C82" s="25">
        <f>IF(B82,PNTYes2,0)</f>
        <v>0</v>
      </c>
      <c r="D82" s="10" t="s">
        <v>113</v>
      </c>
      <c r="E82" s="45"/>
      <c r="F82" s="10" t="s">
        <v>110</v>
      </c>
      <c r="G82" s="3"/>
    </row>
    <row r="83" spans="1:7" ht="25.5">
      <c r="A83" s="10" t="s">
        <v>256</v>
      </c>
      <c r="B83" s="69" t="b">
        <v>0</v>
      </c>
      <c r="C83" s="25">
        <f>IF(B83,PNTYes1,0)</f>
        <v>0</v>
      </c>
      <c r="D83" s="10" t="s">
        <v>113</v>
      </c>
      <c r="E83" s="10" t="s">
        <v>110</v>
      </c>
      <c r="F83" s="46"/>
      <c r="G83" s="3"/>
    </row>
    <row r="84" spans="1:7" ht="25.5">
      <c r="A84" s="10" t="s">
        <v>258</v>
      </c>
      <c r="B84" s="69" t="b">
        <v>0</v>
      </c>
      <c r="C84" s="25">
        <f>IF(B84,PNTYes2,0)</f>
        <v>0</v>
      </c>
      <c r="D84" s="10" t="s">
        <v>113</v>
      </c>
      <c r="E84" s="46"/>
      <c r="F84" s="10" t="s">
        <v>110</v>
      </c>
      <c r="G84" s="3"/>
    </row>
    <row r="85" spans="1:7" ht="25.5">
      <c r="A85" s="10" t="s">
        <v>260</v>
      </c>
      <c r="B85" s="69" t="b">
        <v>0</v>
      </c>
      <c r="C85" s="25">
        <f>IF(B85,PNTYes1,0)</f>
        <v>0</v>
      </c>
      <c r="D85" s="10" t="s">
        <v>113</v>
      </c>
      <c r="E85" s="10" t="s">
        <v>110</v>
      </c>
      <c r="F85" s="46"/>
      <c r="G85" s="3"/>
    </row>
    <row r="86" spans="1:7" ht="30">
      <c r="A86" s="52" t="s">
        <v>261</v>
      </c>
      <c r="B86" s="61">
        <f>SUM(C67:C85)</f>
        <v>0</v>
      </c>
      <c r="C86" s="29" t="e">
        <f>SUM (C67:C85)</f>
        <v>#NAME?</v>
      </c>
      <c r="D86" s="54" t="s">
        <v>262</v>
      </c>
      <c r="E86" s="10" t="s">
        <v>263</v>
      </c>
      <c r="F86" s="3"/>
      <c r="G86" s="3"/>
    </row>
    <row r="87" spans="1:7" ht="12.75">
      <c r="A87" s="3"/>
      <c r="B87" s="3"/>
      <c r="C87" s="25"/>
      <c r="D87" s="62">
        <v>0.8</v>
      </c>
      <c r="E87" s="10">
        <v>28</v>
      </c>
      <c r="F87" s="3"/>
      <c r="G87" s="3"/>
    </row>
    <row r="88" spans="1:7" ht="30">
      <c r="A88" s="52" t="s">
        <v>265</v>
      </c>
      <c r="B88" s="63">
        <f>IF(B86&gt;=(PNTthresholdMitigation*PNTmaxMitigation),B63-10,B63)</f>
        <v>23</v>
      </c>
      <c r="C88" s="39" t="e">
        <f>IF(C86&gt;=(D87*E87),C63-10,C63)</f>
        <v>#NAME?</v>
      </c>
      <c r="D88" s="54" t="s">
        <v>266</v>
      </c>
      <c r="E88" s="3"/>
      <c r="F88" s="3"/>
      <c r="G88" s="3"/>
    </row>
    <row r="89" spans="1:7" ht="12.75">
      <c r="A89" s="3"/>
      <c r="B89" s="3"/>
      <c r="C89" s="8"/>
      <c r="D89" s="3"/>
      <c r="E89" s="3"/>
      <c r="F89" s="3"/>
      <c r="G89" s="3"/>
    </row>
    <row r="90" spans="1:7" ht="30">
      <c r="A90" s="52" t="s">
        <v>268</v>
      </c>
      <c r="B90" s="64" t="str">
        <f>IF(AND(B88&gt;=C95,B88&lt;=C96),"1",IF(AND(B88&gt;=C100, B88&lt;=C101),"2", IF(AND(B88&gt;=C105, B88&lt;=C106),"3",IF(AND(B88&gt;=C110,B88&lt;=C111),"4","Error, contact admin"))))</f>
        <v>2</v>
      </c>
      <c r="C90" s="29"/>
      <c r="D90" s="3"/>
      <c r="E90" s="3"/>
      <c r="F90" s="3"/>
      <c r="G90" s="3"/>
    </row>
    <row r="91" spans="1:7" ht="12.75">
      <c r="A91" s="3"/>
      <c r="B91" s="3"/>
      <c r="C91" s="8"/>
      <c r="D91" s="3"/>
      <c r="E91" s="3"/>
      <c r="F91" s="3"/>
      <c r="G91" s="3"/>
    </row>
    <row r="92" spans="1:7" ht="12.75">
      <c r="A92" s="3"/>
      <c r="B92" s="3"/>
      <c r="C92" s="8"/>
      <c r="D92" s="3"/>
      <c r="E92" s="3"/>
      <c r="F92" s="3"/>
      <c r="G92" s="3"/>
    </row>
    <row r="93" spans="1:7">
      <c r="A93" s="3"/>
      <c r="B93" s="65"/>
      <c r="C93" s="66" t="s">
        <v>269</v>
      </c>
      <c r="G93" s="3"/>
    </row>
    <row r="94" spans="1:7" ht="12.75">
      <c r="A94" s="3"/>
      <c r="C94" s="67" t="s">
        <v>270</v>
      </c>
      <c r="G94" s="3"/>
    </row>
    <row r="95" spans="1:7" ht="12.75">
      <c r="A95" s="3"/>
      <c r="B95" s="3"/>
      <c r="C95" s="25">
        <v>0</v>
      </c>
      <c r="G95" s="3"/>
    </row>
    <row r="96" spans="1:7" ht="12.75">
      <c r="A96" s="3"/>
      <c r="B96" s="3"/>
      <c r="C96" s="25">
        <v>18</v>
      </c>
      <c r="G96" s="3"/>
    </row>
    <row r="97" spans="1:7" ht="12.75">
      <c r="A97" s="3"/>
      <c r="B97" s="3"/>
      <c r="C97" s="8"/>
      <c r="D97" s="3"/>
      <c r="E97" s="3"/>
      <c r="F97" s="3"/>
      <c r="G97" s="3"/>
    </row>
    <row r="98" spans="1:7">
      <c r="A98" s="3"/>
      <c r="B98" s="3"/>
      <c r="C98" s="66" t="s">
        <v>271</v>
      </c>
      <c r="D98" s="3"/>
      <c r="E98" s="3"/>
      <c r="F98" s="3"/>
      <c r="G98" s="3"/>
    </row>
    <row r="99" spans="1:7" ht="12.75">
      <c r="A99" s="3"/>
      <c r="B99" s="3"/>
      <c r="C99" s="68" t="s">
        <v>272</v>
      </c>
      <c r="D99" s="3"/>
      <c r="E99" s="3"/>
      <c r="F99" s="3"/>
      <c r="G99" s="3"/>
    </row>
    <row r="100" spans="1:7" ht="12.75">
      <c r="A100" s="3"/>
      <c r="B100" s="3"/>
      <c r="C100" s="10">
        <v>19</v>
      </c>
      <c r="D100" s="3"/>
      <c r="E100" s="3"/>
      <c r="F100" s="3"/>
      <c r="G100" s="3"/>
    </row>
    <row r="101" spans="1:7" ht="12.75">
      <c r="A101" s="3"/>
      <c r="B101" s="3"/>
      <c r="C101" s="10">
        <v>36</v>
      </c>
      <c r="D101" s="3"/>
      <c r="E101" s="3"/>
      <c r="F101" s="3"/>
      <c r="G101" s="3"/>
    </row>
    <row r="102" spans="1:7" ht="12.75">
      <c r="A102" s="3"/>
      <c r="B102" s="3"/>
      <c r="C102" s="8"/>
      <c r="D102" s="3"/>
      <c r="E102" s="3"/>
      <c r="F102" s="3"/>
      <c r="G102" s="3"/>
    </row>
    <row r="103" spans="1:7">
      <c r="A103" s="3"/>
      <c r="B103" s="3"/>
      <c r="C103" s="66" t="s">
        <v>273</v>
      </c>
      <c r="D103" s="3"/>
      <c r="E103" s="3"/>
      <c r="F103" s="3"/>
      <c r="G103" s="3"/>
    </row>
    <row r="104" spans="1:7" ht="12.75">
      <c r="A104" s="3"/>
      <c r="B104" s="3"/>
      <c r="C104" s="68" t="s">
        <v>274</v>
      </c>
      <c r="D104" s="3"/>
      <c r="E104" s="3"/>
      <c r="F104" s="3"/>
      <c r="G104" s="3"/>
    </row>
    <row r="105" spans="1:7" ht="12.75">
      <c r="A105" s="3"/>
      <c r="B105" s="3"/>
      <c r="C105" s="10">
        <v>37</v>
      </c>
      <c r="D105" s="3"/>
      <c r="E105" s="3"/>
      <c r="F105" s="3"/>
      <c r="G105" s="3"/>
    </row>
    <row r="106" spans="1:7" ht="12.75">
      <c r="A106" s="3"/>
      <c r="B106" s="3"/>
      <c r="C106" s="10">
        <v>54</v>
      </c>
      <c r="D106" s="3"/>
      <c r="E106" s="3"/>
      <c r="F106" s="3"/>
      <c r="G106" s="3"/>
    </row>
    <row r="107" spans="1:7" ht="12.75">
      <c r="A107" s="3"/>
      <c r="B107" s="3"/>
      <c r="C107" s="8"/>
      <c r="D107" s="3"/>
      <c r="E107" s="3"/>
      <c r="F107" s="3"/>
      <c r="G107" s="3"/>
    </row>
    <row r="108" spans="1:7">
      <c r="A108" s="3"/>
      <c r="B108" s="3"/>
      <c r="C108" s="66" t="s">
        <v>275</v>
      </c>
      <c r="D108" s="3"/>
      <c r="E108" s="3"/>
      <c r="F108" s="3"/>
      <c r="G108" s="3"/>
    </row>
    <row r="109" spans="1:7" ht="12.75">
      <c r="A109" s="3"/>
      <c r="B109" s="3"/>
      <c r="C109" s="68" t="s">
        <v>276</v>
      </c>
      <c r="D109" s="3"/>
      <c r="E109" s="3"/>
      <c r="F109" s="3"/>
      <c r="G109" s="3"/>
    </row>
    <row r="110" spans="1:7" ht="12.75">
      <c r="A110" s="3"/>
      <c r="B110" s="3"/>
      <c r="C110" s="10">
        <v>55</v>
      </c>
      <c r="D110" s="3"/>
      <c r="E110" s="3"/>
      <c r="F110" s="3"/>
      <c r="G110" s="3"/>
    </row>
    <row r="111" spans="1:7" ht="12.75">
      <c r="A111" s="3"/>
      <c r="B111" s="3"/>
      <c r="C111" s="10">
        <v>72</v>
      </c>
      <c r="D111" s="3"/>
      <c r="E111" s="3"/>
      <c r="F111" s="3"/>
      <c r="G111" s="3"/>
    </row>
    <row r="112" spans="1:7" ht="12.75">
      <c r="A112" s="3"/>
      <c r="B112" s="3"/>
      <c r="C112" s="8"/>
      <c r="D112" s="3"/>
      <c r="E112" s="3"/>
      <c r="F112" s="3"/>
      <c r="G112" s="3"/>
    </row>
    <row r="113" spans="1:7" ht="12.75">
      <c r="A113" s="3"/>
      <c r="B113" s="3"/>
      <c r="C113" s="8"/>
      <c r="D113" s="3"/>
      <c r="E113" s="3"/>
      <c r="F113" s="3"/>
      <c r="G113" s="3"/>
    </row>
    <row r="114" spans="1:7" ht="12.75">
      <c r="A114" s="3"/>
      <c r="B114" s="3"/>
      <c r="C114" s="8"/>
      <c r="D114" s="3"/>
      <c r="E114" s="3"/>
      <c r="F114" s="3"/>
      <c r="G114" s="3"/>
    </row>
    <row r="115" spans="1:7" ht="12.75">
      <c r="A115" s="3"/>
      <c r="B115" s="3"/>
      <c r="C115" s="8"/>
      <c r="D115" s="3"/>
      <c r="E115" s="3"/>
      <c r="F115" s="3"/>
      <c r="G115" s="3"/>
    </row>
    <row r="116" spans="1:7" ht="12.75">
      <c r="A116" s="3"/>
      <c r="B116" s="3"/>
      <c r="C116" s="8"/>
      <c r="D116" s="3"/>
      <c r="E116" s="3"/>
      <c r="F116" s="3"/>
      <c r="G116" s="3"/>
    </row>
    <row r="117" spans="1:7" ht="12.75">
      <c r="A117" s="3"/>
      <c r="B117" s="3"/>
      <c r="C117" s="8"/>
      <c r="D117" s="3"/>
      <c r="E117" s="3"/>
      <c r="F117" s="3"/>
      <c r="G117" s="3"/>
    </row>
    <row r="118" spans="1:7" ht="12.75">
      <c r="A118" s="3"/>
      <c r="B118" s="3"/>
      <c r="C118" s="8"/>
      <c r="D118" s="3"/>
      <c r="E118" s="3"/>
      <c r="F118" s="3"/>
      <c r="G118" s="3"/>
    </row>
    <row r="119" spans="1:7" ht="12.75">
      <c r="A119" s="3"/>
      <c r="B119" s="3"/>
      <c r="C119" s="8"/>
      <c r="D119" s="3"/>
      <c r="E119" s="3"/>
      <c r="F119" s="3"/>
      <c r="G119" s="3"/>
    </row>
    <row r="120" spans="1:7" ht="12.75">
      <c r="A120" s="3"/>
      <c r="B120" s="3"/>
      <c r="C120" s="8"/>
      <c r="D120" s="3"/>
      <c r="E120" s="3"/>
      <c r="F120" s="3"/>
      <c r="G120" s="3"/>
    </row>
    <row r="121" spans="1:7" ht="12.75">
      <c r="A121" s="3"/>
      <c r="B121" s="3"/>
      <c r="C121" s="8"/>
      <c r="D121" s="3"/>
      <c r="E121" s="3"/>
      <c r="F121" s="3"/>
      <c r="G121" s="3"/>
    </row>
    <row r="122" spans="1:7" ht="12.75">
      <c r="A122" s="3"/>
      <c r="B122" s="3"/>
      <c r="C122" s="8"/>
      <c r="D122" s="3"/>
      <c r="E122" s="3"/>
      <c r="F122" s="3"/>
      <c r="G122" s="3"/>
    </row>
    <row r="123" spans="1:7" ht="12.75">
      <c r="A123" s="3"/>
      <c r="B123" s="3"/>
      <c r="C123" s="8"/>
      <c r="D123" s="3"/>
      <c r="E123" s="3"/>
      <c r="F123" s="3"/>
      <c r="G123" s="3"/>
    </row>
    <row r="124" spans="1:7" ht="12.75">
      <c r="A124" s="3"/>
      <c r="B124" s="3"/>
      <c r="C124" s="8"/>
      <c r="D124" s="3"/>
      <c r="E124" s="3"/>
      <c r="F124" s="3"/>
      <c r="G124" s="3"/>
    </row>
    <row r="125" spans="1:7" ht="12.75">
      <c r="A125" s="3"/>
      <c r="B125" s="3"/>
      <c r="C125" s="8"/>
      <c r="D125" s="3"/>
      <c r="E125" s="3"/>
      <c r="F125" s="3"/>
      <c r="G125" s="3"/>
    </row>
    <row r="126" spans="1:7" ht="12.75">
      <c r="A126" s="3"/>
      <c r="B126" s="3"/>
      <c r="C126" s="8"/>
      <c r="D126" s="3"/>
      <c r="E126" s="3"/>
      <c r="F126" s="3"/>
      <c r="G126" s="3"/>
    </row>
    <row r="127" spans="1:7" ht="12.75">
      <c r="A127" s="3"/>
      <c r="B127" s="3"/>
      <c r="C127" s="8"/>
      <c r="D127" s="3"/>
      <c r="E127" s="3"/>
      <c r="F127" s="3"/>
      <c r="G127" s="3"/>
    </row>
    <row r="128" spans="1:7" ht="12.75">
      <c r="A128" s="3"/>
      <c r="B128" s="3"/>
      <c r="C128" s="8"/>
      <c r="D128" s="3"/>
      <c r="E128" s="3"/>
      <c r="F128" s="3"/>
      <c r="G128" s="3"/>
    </row>
    <row r="129" spans="1:7" ht="12.75">
      <c r="A129" s="3"/>
      <c r="B129" s="3"/>
      <c r="C129" s="8"/>
      <c r="D129" s="3"/>
      <c r="E129" s="3"/>
      <c r="F129" s="3"/>
      <c r="G129" s="3"/>
    </row>
    <row r="130" spans="1:7" ht="12.75">
      <c r="A130" s="3"/>
      <c r="B130" s="3"/>
      <c r="C130" s="8"/>
      <c r="D130" s="3"/>
      <c r="E130" s="3"/>
      <c r="F130" s="3"/>
      <c r="G130" s="3"/>
    </row>
    <row r="131" spans="1:7" ht="12.75">
      <c r="A131" s="3"/>
      <c r="B131" s="3"/>
      <c r="C131" s="8"/>
      <c r="D131" s="3"/>
      <c r="E131" s="3"/>
      <c r="F131" s="3"/>
      <c r="G131" s="3"/>
    </row>
    <row r="132" spans="1:7" ht="12.75">
      <c r="A132" s="3"/>
      <c r="B132" s="3"/>
      <c r="C132" s="8"/>
      <c r="D132" s="3"/>
      <c r="E132" s="3"/>
      <c r="F132" s="3"/>
      <c r="G132" s="3"/>
    </row>
    <row r="133" spans="1:7" ht="12.75">
      <c r="A133" s="3"/>
      <c r="B133" s="3"/>
      <c r="C133" s="8"/>
      <c r="D133" s="3"/>
      <c r="E133" s="3"/>
      <c r="F133" s="3"/>
      <c r="G133" s="3"/>
    </row>
    <row r="134" spans="1:7" ht="12.75">
      <c r="A134" s="3"/>
      <c r="B134" s="3"/>
      <c r="C134" s="8"/>
      <c r="D134" s="3"/>
      <c r="E134" s="3"/>
      <c r="F134" s="3"/>
      <c r="G134" s="3"/>
    </row>
    <row r="135" spans="1:7" ht="12.75">
      <c r="A135" s="3"/>
      <c r="B135" s="3"/>
      <c r="C135" s="8"/>
      <c r="D135" s="3"/>
      <c r="E135" s="3"/>
      <c r="F135" s="3"/>
      <c r="G135" s="3"/>
    </row>
    <row r="136" spans="1:7" ht="12.75">
      <c r="A136" s="3"/>
      <c r="B136" s="3"/>
      <c r="C136" s="8"/>
      <c r="D136" s="3"/>
      <c r="E136" s="3"/>
      <c r="F136" s="3"/>
      <c r="G136" s="3"/>
    </row>
    <row r="137" spans="1:7" ht="12.75">
      <c r="A137" s="3"/>
      <c r="B137" s="3"/>
      <c r="C137" s="8"/>
      <c r="D137" s="3"/>
      <c r="E137" s="3"/>
      <c r="F137" s="3"/>
      <c r="G137" s="3"/>
    </row>
    <row r="138" spans="1:7" ht="12.75">
      <c r="A138" s="3"/>
      <c r="B138" s="3"/>
      <c r="C138" s="8"/>
      <c r="D138" s="3"/>
      <c r="E138" s="3"/>
      <c r="F138" s="3"/>
      <c r="G138" s="3"/>
    </row>
    <row r="139" spans="1:7" ht="12.75">
      <c r="A139" s="3"/>
      <c r="B139" s="3"/>
      <c r="C139" s="8"/>
      <c r="D139" s="3"/>
      <c r="E139" s="3"/>
      <c r="F139" s="3"/>
      <c r="G139" s="3"/>
    </row>
    <row r="140" spans="1:7" ht="12.75">
      <c r="A140" s="3"/>
      <c r="B140" s="3"/>
      <c r="C140" s="8"/>
      <c r="D140" s="3"/>
      <c r="E140" s="3"/>
      <c r="F140" s="3"/>
      <c r="G140" s="3"/>
    </row>
    <row r="141" spans="1:7" ht="12.75">
      <c r="A141" s="3"/>
      <c r="B141" s="3"/>
      <c r="C141" s="8"/>
      <c r="D141" s="3"/>
      <c r="E141" s="3"/>
      <c r="F141" s="3"/>
      <c r="G141" s="3"/>
    </row>
    <row r="142" spans="1:7" ht="12.75">
      <c r="A142" s="3"/>
      <c r="B142" s="3"/>
      <c r="C142" s="8"/>
      <c r="D142" s="3"/>
      <c r="E142" s="3"/>
      <c r="F142" s="3"/>
      <c r="G142" s="3"/>
    </row>
    <row r="143" spans="1:7" ht="12.75">
      <c r="A143" s="3"/>
      <c r="B143" s="3"/>
      <c r="C143" s="8"/>
      <c r="D143" s="3"/>
      <c r="E143" s="3"/>
      <c r="F143" s="3"/>
      <c r="G143" s="3"/>
    </row>
    <row r="144" spans="1:7" ht="12.75">
      <c r="A144" s="3"/>
      <c r="B144" s="3"/>
      <c r="C144" s="8"/>
      <c r="D144" s="3"/>
      <c r="E144" s="3"/>
      <c r="F144" s="3"/>
      <c r="G144" s="3"/>
    </row>
    <row r="145" spans="1:7" ht="12.75">
      <c r="A145" s="3"/>
      <c r="B145" s="3"/>
      <c r="C145" s="8"/>
      <c r="D145" s="3"/>
      <c r="E145" s="3"/>
      <c r="F145" s="3"/>
      <c r="G145" s="3"/>
    </row>
    <row r="146" spans="1:7" ht="12.75">
      <c r="A146" s="3"/>
      <c r="B146" s="3"/>
      <c r="C146" s="8"/>
      <c r="D146" s="3"/>
      <c r="E146" s="3"/>
      <c r="F146" s="3"/>
      <c r="G146" s="3"/>
    </row>
    <row r="147" spans="1:7" ht="12.75">
      <c r="A147" s="3"/>
      <c r="B147" s="3"/>
      <c r="C147" s="8"/>
      <c r="D147" s="3"/>
      <c r="E147" s="3"/>
      <c r="F147" s="3"/>
      <c r="G147" s="3"/>
    </row>
    <row r="148" spans="1:7" ht="12.75">
      <c r="A148" s="3"/>
      <c r="B148" s="3"/>
      <c r="C148" s="8"/>
      <c r="D148" s="3"/>
      <c r="E148" s="3"/>
      <c r="F148" s="3"/>
      <c r="G148" s="3"/>
    </row>
    <row r="149" spans="1:7" ht="12.75">
      <c r="A149" s="3"/>
      <c r="B149" s="3"/>
      <c r="C149" s="8"/>
      <c r="D149" s="3"/>
      <c r="E149" s="3"/>
      <c r="F149" s="3"/>
      <c r="G149" s="3"/>
    </row>
    <row r="150" spans="1:7" ht="12.75">
      <c r="A150" s="3"/>
      <c r="B150" s="3"/>
      <c r="C150" s="8"/>
      <c r="D150" s="3"/>
      <c r="E150" s="3"/>
      <c r="F150" s="3"/>
      <c r="G150" s="3"/>
    </row>
    <row r="151" spans="1:7" ht="12.75">
      <c r="A151" s="3"/>
      <c r="B151" s="3"/>
      <c r="C151" s="8"/>
      <c r="D151" s="3"/>
      <c r="E151" s="3"/>
      <c r="F151" s="3"/>
      <c r="G151" s="3"/>
    </row>
    <row r="152" spans="1:7" ht="12.75">
      <c r="A152" s="3"/>
      <c r="B152" s="3"/>
      <c r="C152" s="8"/>
      <c r="D152" s="3"/>
      <c r="E152" s="3"/>
      <c r="F152" s="3"/>
      <c r="G152" s="3"/>
    </row>
    <row r="153" spans="1:7" ht="12.75">
      <c r="A153" s="3"/>
      <c r="B153" s="3"/>
      <c r="C153" s="8"/>
      <c r="D153" s="3"/>
      <c r="E153" s="3"/>
      <c r="F153" s="3"/>
      <c r="G153" s="3"/>
    </row>
    <row r="154" spans="1:7" ht="12.75">
      <c r="A154" s="3"/>
      <c r="B154" s="3"/>
      <c r="C154" s="8"/>
      <c r="D154" s="3"/>
      <c r="E154" s="3"/>
      <c r="F154" s="3"/>
      <c r="G154" s="3"/>
    </row>
    <row r="155" spans="1:7" ht="12.75">
      <c r="A155" s="3"/>
      <c r="B155" s="3"/>
      <c r="C155" s="8"/>
      <c r="D155" s="3"/>
      <c r="E155" s="3"/>
      <c r="F155" s="3"/>
      <c r="G155" s="3"/>
    </row>
    <row r="156" spans="1:7" ht="12.75">
      <c r="A156" s="3"/>
      <c r="B156" s="3"/>
      <c r="C156" s="8"/>
      <c r="D156" s="3"/>
      <c r="E156" s="3"/>
      <c r="F156" s="3"/>
      <c r="G156" s="3"/>
    </row>
    <row r="157" spans="1:7" ht="12.75">
      <c r="A157" s="3"/>
      <c r="B157" s="3"/>
      <c r="C157" s="8"/>
      <c r="D157" s="3"/>
      <c r="E157" s="3"/>
      <c r="F157" s="3"/>
      <c r="G157" s="3"/>
    </row>
    <row r="158" spans="1:7" ht="12.75">
      <c r="A158" s="3"/>
      <c r="B158" s="3"/>
      <c r="C158" s="8"/>
      <c r="D158" s="3"/>
      <c r="E158" s="3"/>
      <c r="F158" s="3"/>
      <c r="G158" s="3"/>
    </row>
    <row r="159" spans="1:7" ht="12.75">
      <c r="A159" s="3"/>
      <c r="B159" s="3"/>
      <c r="C159" s="8"/>
      <c r="D159" s="3"/>
      <c r="E159" s="3"/>
      <c r="F159" s="3"/>
      <c r="G159" s="3"/>
    </row>
    <row r="160" spans="1:7" ht="12.75">
      <c r="A160" s="3"/>
      <c r="B160" s="3"/>
      <c r="C160" s="8"/>
      <c r="D160" s="3"/>
      <c r="E160" s="3"/>
      <c r="F160" s="3"/>
      <c r="G160" s="3"/>
    </row>
    <row r="161" spans="1:7" ht="12.75">
      <c r="A161" s="3"/>
      <c r="B161" s="3"/>
      <c r="C161" s="8"/>
      <c r="D161" s="3"/>
      <c r="E161" s="3"/>
      <c r="F161" s="3"/>
      <c r="G161" s="3"/>
    </row>
    <row r="162" spans="1:7" ht="12.75">
      <c r="A162" s="3"/>
      <c r="B162" s="3"/>
      <c r="C162" s="8"/>
      <c r="D162" s="3"/>
      <c r="E162" s="3"/>
      <c r="F162" s="3"/>
      <c r="G162" s="3"/>
    </row>
    <row r="163" spans="1:7" ht="12.75">
      <c r="A163" s="3"/>
      <c r="B163" s="3"/>
      <c r="C163" s="8"/>
      <c r="D163" s="3"/>
      <c r="E163" s="3"/>
      <c r="F163" s="3"/>
      <c r="G163" s="3"/>
    </row>
    <row r="164" spans="1:7" ht="12.75">
      <c r="A164" s="3"/>
      <c r="B164" s="3"/>
      <c r="C164" s="8"/>
      <c r="D164" s="3"/>
      <c r="E164" s="3"/>
      <c r="F164" s="3"/>
      <c r="G164" s="3"/>
    </row>
    <row r="165" spans="1:7" ht="12.75">
      <c r="A165" s="3"/>
      <c r="B165" s="3"/>
      <c r="C165" s="8"/>
      <c r="D165" s="3"/>
      <c r="E165" s="3"/>
      <c r="F165" s="3"/>
      <c r="G165" s="3"/>
    </row>
    <row r="166" spans="1:7" ht="12.75">
      <c r="A166" s="3"/>
      <c r="B166" s="3"/>
      <c r="C166" s="8"/>
      <c r="D166" s="3"/>
      <c r="E166" s="3"/>
      <c r="F166" s="3"/>
      <c r="G166" s="3"/>
    </row>
    <row r="167" spans="1:7" ht="12.75">
      <c r="A167" s="3"/>
      <c r="B167" s="3"/>
      <c r="C167" s="8"/>
      <c r="D167" s="3"/>
      <c r="E167" s="3"/>
      <c r="F167" s="3"/>
      <c r="G167" s="3"/>
    </row>
    <row r="168" spans="1:7" ht="12.75">
      <c r="A168" s="3"/>
      <c r="B168" s="3"/>
      <c r="C168" s="8"/>
      <c r="D168" s="3"/>
      <c r="E168" s="3"/>
      <c r="F168" s="3"/>
      <c r="G168" s="3"/>
    </row>
    <row r="169" spans="1:7" ht="12.75">
      <c r="A169" s="3"/>
      <c r="B169" s="3"/>
      <c r="C169" s="8"/>
      <c r="D169" s="3"/>
      <c r="E169" s="3"/>
      <c r="F169" s="3"/>
      <c r="G169" s="3"/>
    </row>
    <row r="170" spans="1:7" ht="12.75">
      <c r="A170" s="3"/>
      <c r="B170" s="3"/>
      <c r="C170" s="8"/>
      <c r="D170" s="3"/>
      <c r="E170" s="3"/>
      <c r="F170" s="3"/>
      <c r="G170" s="3"/>
    </row>
    <row r="171" spans="1:7" ht="12.75">
      <c r="A171" s="3"/>
      <c r="B171" s="3"/>
      <c r="C171" s="8"/>
      <c r="D171" s="3"/>
      <c r="E171" s="3"/>
      <c r="F171" s="3"/>
      <c r="G171" s="3"/>
    </row>
    <row r="172" spans="1:7" ht="12.75">
      <c r="A172" s="3"/>
      <c r="B172" s="3"/>
      <c r="C172" s="8"/>
      <c r="D172" s="3"/>
      <c r="E172" s="3"/>
      <c r="F172" s="3"/>
      <c r="G172" s="3"/>
    </row>
    <row r="173" spans="1:7" ht="12.75">
      <c r="A173" s="3"/>
      <c r="B173" s="3"/>
      <c r="C173" s="8"/>
      <c r="D173" s="3"/>
      <c r="E173" s="3"/>
      <c r="F173" s="3"/>
      <c r="G173" s="3"/>
    </row>
    <row r="174" spans="1:7" ht="12.75">
      <c r="A174" s="3"/>
      <c r="B174" s="3"/>
      <c r="C174" s="8"/>
      <c r="D174" s="3"/>
      <c r="E174" s="3"/>
      <c r="F174" s="3"/>
      <c r="G174" s="3"/>
    </row>
    <row r="175" spans="1:7" ht="12.75">
      <c r="A175" s="3"/>
      <c r="B175" s="3"/>
      <c r="C175" s="8"/>
      <c r="D175" s="3"/>
      <c r="E175" s="3"/>
      <c r="F175" s="3"/>
      <c r="G175" s="3"/>
    </row>
    <row r="176" spans="1:7" ht="12.75">
      <c r="A176" s="3"/>
      <c r="B176" s="3"/>
      <c r="C176" s="8"/>
      <c r="D176" s="3"/>
      <c r="E176" s="3"/>
      <c r="F176" s="3"/>
      <c r="G176" s="3"/>
    </row>
    <row r="177" spans="1:7" ht="12.75">
      <c r="A177" s="3"/>
      <c r="B177" s="3"/>
      <c r="C177" s="8"/>
      <c r="D177" s="3"/>
      <c r="E177" s="3"/>
      <c r="F177" s="3"/>
      <c r="G177" s="3"/>
    </row>
    <row r="178" spans="1:7" ht="12.75">
      <c r="A178" s="3"/>
      <c r="B178" s="3"/>
      <c r="C178" s="8"/>
      <c r="D178" s="3"/>
      <c r="E178" s="3"/>
      <c r="F178" s="3"/>
      <c r="G178" s="3"/>
    </row>
    <row r="179" spans="1:7" ht="12.75">
      <c r="A179" s="3"/>
      <c r="B179" s="3"/>
      <c r="C179" s="8"/>
      <c r="D179" s="3"/>
      <c r="E179" s="3"/>
      <c r="F179" s="3"/>
      <c r="G179" s="3"/>
    </row>
    <row r="180" spans="1:7" ht="12.75">
      <c r="A180" s="3"/>
      <c r="B180" s="3"/>
      <c r="C180" s="8"/>
      <c r="D180" s="3"/>
      <c r="E180" s="3"/>
      <c r="F180" s="3"/>
      <c r="G180" s="3"/>
    </row>
    <row r="181" spans="1:7" ht="12.75">
      <c r="A181" s="3"/>
      <c r="B181" s="3"/>
      <c r="C181" s="8"/>
      <c r="D181" s="3"/>
      <c r="E181" s="3"/>
      <c r="F181" s="3"/>
      <c r="G181" s="3"/>
    </row>
    <row r="182" spans="1:7" ht="12.75">
      <c r="A182" s="3"/>
      <c r="B182" s="3"/>
      <c r="C182" s="8"/>
      <c r="D182" s="3"/>
      <c r="E182" s="3"/>
      <c r="F182" s="3"/>
      <c r="G182" s="3"/>
    </row>
    <row r="183" spans="1:7" ht="12.75">
      <c r="A183" s="3"/>
      <c r="B183" s="3"/>
      <c r="C183" s="8"/>
      <c r="D183" s="3"/>
      <c r="E183" s="3"/>
      <c r="F183" s="3"/>
      <c r="G183" s="3"/>
    </row>
    <row r="184" spans="1:7" ht="12.75">
      <c r="A184" s="3"/>
      <c r="B184" s="3"/>
      <c r="C184" s="8"/>
      <c r="D184" s="3"/>
      <c r="E184" s="3"/>
      <c r="F184" s="3"/>
      <c r="G184" s="3"/>
    </row>
    <row r="185" spans="1:7" ht="12.75">
      <c r="A185" s="3"/>
      <c r="B185" s="3"/>
      <c r="C185" s="8"/>
      <c r="D185" s="3"/>
      <c r="E185" s="3"/>
      <c r="F185" s="3"/>
      <c r="G185" s="3"/>
    </row>
    <row r="186" spans="1:7" ht="12.75">
      <c r="A186" s="3"/>
      <c r="B186" s="3"/>
      <c r="C186" s="8"/>
      <c r="D186" s="3"/>
      <c r="E186" s="3"/>
      <c r="F186" s="3"/>
      <c r="G186" s="3"/>
    </row>
    <row r="187" spans="1:7" ht="12.75">
      <c r="A187" s="3"/>
      <c r="B187" s="3"/>
      <c r="C187" s="8"/>
      <c r="D187" s="3"/>
      <c r="E187" s="3"/>
      <c r="F187" s="3"/>
      <c r="G187" s="3"/>
    </row>
    <row r="188" spans="1:7" ht="12.75">
      <c r="A188" s="3"/>
      <c r="B188" s="3"/>
      <c r="C188" s="8"/>
      <c r="D188" s="3"/>
      <c r="E188" s="3"/>
      <c r="F188" s="3"/>
      <c r="G188" s="3"/>
    </row>
    <row r="189" spans="1:7" ht="12.75">
      <c r="A189" s="3"/>
      <c r="B189" s="3"/>
      <c r="C189" s="8"/>
      <c r="D189" s="3"/>
      <c r="E189" s="3"/>
      <c r="F189" s="3"/>
      <c r="G189" s="3"/>
    </row>
    <row r="190" spans="1:7" ht="12.75">
      <c r="A190" s="3"/>
      <c r="B190" s="3"/>
      <c r="C190" s="8"/>
      <c r="D190" s="3"/>
      <c r="E190" s="3"/>
      <c r="F190" s="3"/>
      <c r="G190" s="3"/>
    </row>
    <row r="191" spans="1:7" ht="12.75">
      <c r="A191" s="3"/>
      <c r="B191" s="3"/>
      <c r="C191" s="8"/>
      <c r="D191" s="3"/>
      <c r="E191" s="3"/>
      <c r="F191" s="3"/>
      <c r="G191" s="3"/>
    </row>
    <row r="192" spans="1:7" ht="12.75">
      <c r="A192" s="3"/>
      <c r="B192" s="3"/>
      <c r="C192" s="8"/>
      <c r="D192" s="3"/>
      <c r="E192" s="3"/>
      <c r="F192" s="3"/>
      <c r="G192" s="3"/>
    </row>
    <row r="193" spans="1:7" ht="12.75">
      <c r="A193" s="3"/>
      <c r="B193" s="3"/>
      <c r="C193" s="8"/>
      <c r="D193" s="3"/>
      <c r="E193" s="3"/>
      <c r="F193" s="3"/>
      <c r="G193" s="3"/>
    </row>
    <row r="194" spans="1:7" ht="12.75">
      <c r="A194" s="3"/>
      <c r="B194" s="3"/>
      <c r="C194" s="8"/>
      <c r="D194" s="3"/>
      <c r="E194" s="3"/>
      <c r="F194" s="3"/>
      <c r="G194" s="3"/>
    </row>
    <row r="195" spans="1:7" ht="12.75">
      <c r="A195" s="3"/>
      <c r="B195" s="3"/>
      <c r="C195" s="8"/>
      <c r="D195" s="3"/>
      <c r="E195" s="3"/>
      <c r="F195" s="3"/>
      <c r="G195" s="3"/>
    </row>
    <row r="196" spans="1:7" ht="12.75">
      <c r="A196" s="3"/>
      <c r="B196" s="3"/>
      <c r="C196" s="8"/>
      <c r="D196" s="3"/>
      <c r="E196" s="3"/>
      <c r="F196" s="3"/>
      <c r="G196" s="3"/>
    </row>
    <row r="197" spans="1:7" ht="12.75">
      <c r="A197" s="3"/>
      <c r="B197" s="3"/>
      <c r="C197" s="8"/>
      <c r="D197" s="3"/>
      <c r="E197" s="3"/>
      <c r="F197" s="3"/>
      <c r="G197" s="3"/>
    </row>
    <row r="198" spans="1:7" ht="12.75">
      <c r="A198" s="3"/>
      <c r="B198" s="3"/>
      <c r="C198" s="8"/>
      <c r="D198" s="3"/>
      <c r="E198" s="3"/>
      <c r="F198" s="3"/>
      <c r="G198" s="3"/>
    </row>
    <row r="199" spans="1:7" ht="12.75">
      <c r="A199" s="3"/>
      <c r="B199" s="3"/>
      <c r="C199" s="8"/>
      <c r="D199" s="3"/>
      <c r="E199" s="3"/>
      <c r="F199" s="3"/>
      <c r="G199" s="3"/>
    </row>
    <row r="200" spans="1:7" ht="12.75">
      <c r="A200" s="3"/>
      <c r="B200" s="3"/>
      <c r="C200" s="8"/>
      <c r="D200" s="3"/>
      <c r="E200" s="3"/>
      <c r="F200" s="3"/>
      <c r="G200" s="3"/>
    </row>
    <row r="201" spans="1:7" ht="12.75">
      <c r="A201" s="3"/>
      <c r="B201" s="3"/>
      <c r="C201" s="8"/>
      <c r="D201" s="3"/>
      <c r="E201" s="3"/>
      <c r="F201" s="3"/>
      <c r="G201" s="3"/>
    </row>
    <row r="202" spans="1:7" ht="12.75">
      <c r="A202" s="3"/>
      <c r="B202" s="3"/>
      <c r="C202" s="8"/>
      <c r="D202" s="3"/>
      <c r="E202" s="3"/>
      <c r="F202" s="3"/>
      <c r="G202" s="3"/>
    </row>
    <row r="203" spans="1:7" ht="12.75">
      <c r="A203" s="3"/>
      <c r="B203" s="3"/>
      <c r="C203" s="8"/>
      <c r="D203" s="3"/>
      <c r="E203" s="3"/>
      <c r="F203" s="3"/>
      <c r="G203" s="3"/>
    </row>
    <row r="204" spans="1:7" ht="12.75">
      <c r="A204" s="3"/>
      <c r="B204" s="3"/>
      <c r="C204" s="8"/>
      <c r="D204" s="3"/>
      <c r="E204" s="3"/>
      <c r="F204" s="3"/>
      <c r="G204" s="3"/>
    </row>
    <row r="205" spans="1:7" ht="12.75">
      <c r="A205" s="3"/>
      <c r="B205" s="3"/>
      <c r="C205" s="8"/>
      <c r="D205" s="3"/>
      <c r="E205" s="3"/>
      <c r="F205" s="3"/>
      <c r="G205" s="3"/>
    </row>
    <row r="206" spans="1:7" ht="12.75">
      <c r="A206" s="3"/>
      <c r="B206" s="3"/>
      <c r="C206" s="8"/>
      <c r="D206" s="3"/>
      <c r="E206" s="3"/>
      <c r="F206" s="3"/>
      <c r="G206" s="3"/>
    </row>
    <row r="207" spans="1:7" ht="12.75">
      <c r="A207" s="3"/>
      <c r="B207" s="3"/>
      <c r="C207" s="8"/>
      <c r="D207" s="3"/>
      <c r="E207" s="3"/>
      <c r="F207" s="3"/>
      <c r="G207" s="3"/>
    </row>
    <row r="208" spans="1:7" ht="12.75">
      <c r="A208" s="3"/>
      <c r="B208" s="3"/>
      <c r="C208" s="8"/>
      <c r="D208" s="3"/>
      <c r="E208" s="3"/>
      <c r="F208" s="3"/>
      <c r="G208" s="3"/>
    </row>
    <row r="209" spans="1:7" ht="12.75">
      <c r="A209" s="3"/>
      <c r="B209" s="3"/>
      <c r="C209" s="8"/>
      <c r="D209" s="3"/>
      <c r="E209" s="3"/>
      <c r="F209" s="3"/>
      <c r="G209" s="3"/>
    </row>
    <row r="210" spans="1:7" ht="12.75">
      <c r="A210" s="3"/>
      <c r="B210" s="3"/>
      <c r="C210" s="8"/>
      <c r="D210" s="3"/>
      <c r="E210" s="3"/>
      <c r="F210" s="3"/>
      <c r="G210" s="3"/>
    </row>
    <row r="211" spans="1:7" ht="12.75">
      <c r="A211" s="3"/>
      <c r="B211" s="3"/>
      <c r="C211" s="8"/>
      <c r="D211" s="3"/>
      <c r="E211" s="3"/>
      <c r="F211" s="3"/>
      <c r="G211" s="3"/>
    </row>
    <row r="212" spans="1:7" ht="12.75">
      <c r="A212" s="3"/>
      <c r="B212" s="3"/>
      <c r="C212" s="8"/>
      <c r="D212" s="3"/>
      <c r="E212" s="3"/>
      <c r="F212" s="3"/>
      <c r="G212" s="3"/>
    </row>
    <row r="213" spans="1:7" ht="12.75">
      <c r="A213" s="3"/>
      <c r="B213" s="3"/>
      <c r="C213" s="8"/>
      <c r="D213" s="3"/>
      <c r="E213" s="3"/>
      <c r="F213" s="3"/>
      <c r="G213" s="3"/>
    </row>
    <row r="214" spans="1:7" ht="12.75">
      <c r="A214" s="3"/>
      <c r="B214" s="3"/>
      <c r="C214" s="8"/>
      <c r="D214" s="3"/>
      <c r="E214" s="3"/>
      <c r="F214" s="3"/>
      <c r="G214" s="3"/>
    </row>
    <row r="215" spans="1:7" ht="12.75">
      <c r="A215" s="3"/>
      <c r="B215" s="3"/>
      <c r="C215" s="8"/>
      <c r="D215" s="3"/>
      <c r="E215" s="3"/>
      <c r="F215" s="3"/>
      <c r="G215" s="3"/>
    </row>
    <row r="216" spans="1:7" ht="12.75">
      <c r="A216" s="3"/>
      <c r="B216" s="3"/>
      <c r="C216" s="8"/>
      <c r="D216" s="3"/>
      <c r="E216" s="3"/>
      <c r="F216" s="3"/>
      <c r="G216" s="3"/>
    </row>
    <row r="217" spans="1:7" ht="12.75">
      <c r="A217" s="3"/>
      <c r="B217" s="3"/>
      <c r="C217" s="8"/>
      <c r="D217" s="3"/>
      <c r="E217" s="3"/>
      <c r="F217" s="3"/>
      <c r="G217" s="3"/>
    </row>
    <row r="218" spans="1:7" ht="12.75">
      <c r="A218" s="3"/>
      <c r="B218" s="3"/>
      <c r="C218" s="8"/>
      <c r="D218" s="3"/>
      <c r="E218" s="3"/>
      <c r="F218" s="3"/>
      <c r="G218" s="3"/>
    </row>
    <row r="219" spans="1:7" ht="12.75">
      <c r="A219" s="3"/>
      <c r="B219" s="3"/>
      <c r="C219" s="8"/>
      <c r="D219" s="3"/>
      <c r="E219" s="3"/>
      <c r="F219" s="3"/>
      <c r="G219" s="3"/>
    </row>
    <row r="220" spans="1:7" ht="12.75">
      <c r="A220" s="3"/>
      <c r="B220" s="3"/>
      <c r="C220" s="8"/>
      <c r="D220" s="3"/>
      <c r="E220" s="3"/>
      <c r="F220" s="3"/>
      <c r="G220" s="3"/>
    </row>
    <row r="221" spans="1:7" ht="12.75">
      <c r="A221" s="3"/>
      <c r="B221" s="3"/>
      <c r="C221" s="8"/>
      <c r="D221" s="3"/>
      <c r="E221" s="3"/>
      <c r="F221" s="3"/>
      <c r="G221" s="3"/>
    </row>
    <row r="222" spans="1:7" ht="12.75">
      <c r="A222" s="3"/>
      <c r="B222" s="3"/>
      <c r="C222" s="8"/>
      <c r="D222" s="3"/>
      <c r="E222" s="3"/>
      <c r="F222" s="3"/>
      <c r="G222" s="3"/>
    </row>
    <row r="223" spans="1:7" ht="12.75">
      <c r="A223" s="3"/>
      <c r="B223" s="3"/>
      <c r="C223" s="8"/>
      <c r="D223" s="3"/>
      <c r="E223" s="3"/>
      <c r="F223" s="3"/>
      <c r="G223" s="3"/>
    </row>
    <row r="224" spans="1:7" ht="12.75">
      <c r="A224" s="3"/>
      <c r="B224" s="3"/>
      <c r="C224" s="8"/>
      <c r="D224" s="3"/>
      <c r="E224" s="3"/>
      <c r="F224" s="3"/>
      <c r="G224" s="3"/>
    </row>
    <row r="225" spans="1:7" ht="12.75">
      <c r="A225" s="3"/>
      <c r="B225" s="3"/>
      <c r="C225" s="8"/>
      <c r="D225" s="3"/>
      <c r="E225" s="3"/>
      <c r="F225" s="3"/>
      <c r="G225" s="3"/>
    </row>
    <row r="226" spans="1:7" ht="12.75">
      <c r="A226" s="3"/>
      <c r="B226" s="3"/>
      <c r="C226" s="8"/>
      <c r="D226" s="3"/>
      <c r="E226" s="3"/>
      <c r="F226" s="3"/>
      <c r="G226" s="3"/>
    </row>
    <row r="227" spans="1:7" ht="12.75">
      <c r="A227" s="3"/>
      <c r="B227" s="3"/>
      <c r="C227" s="8"/>
      <c r="D227" s="3"/>
      <c r="E227" s="3"/>
      <c r="F227" s="3"/>
      <c r="G227" s="3"/>
    </row>
    <row r="228" spans="1:7" ht="12.75">
      <c r="A228" s="3"/>
      <c r="B228" s="3"/>
      <c r="C228" s="8"/>
      <c r="D228" s="3"/>
      <c r="E228" s="3"/>
      <c r="F228" s="3"/>
      <c r="G228" s="3"/>
    </row>
    <row r="229" spans="1:7" ht="12.75">
      <c r="A229" s="3"/>
      <c r="B229" s="3"/>
      <c r="C229" s="8"/>
      <c r="D229" s="3"/>
      <c r="E229" s="3"/>
      <c r="F229" s="3"/>
      <c r="G229" s="3"/>
    </row>
    <row r="230" spans="1:7" ht="12.75">
      <c r="A230" s="3"/>
      <c r="B230" s="3"/>
      <c r="C230" s="8"/>
      <c r="D230" s="3"/>
      <c r="E230" s="3"/>
      <c r="F230" s="3"/>
      <c r="G230" s="3"/>
    </row>
    <row r="231" spans="1:7" ht="12.75">
      <c r="A231" s="3"/>
      <c r="B231" s="3"/>
      <c r="C231" s="8"/>
      <c r="D231" s="3"/>
      <c r="E231" s="3"/>
      <c r="F231" s="3"/>
      <c r="G231" s="3"/>
    </row>
    <row r="232" spans="1:7" ht="12.75">
      <c r="A232" s="3"/>
      <c r="B232" s="3"/>
      <c r="C232" s="8"/>
      <c r="D232" s="3"/>
      <c r="E232" s="3"/>
      <c r="F232" s="3"/>
      <c r="G232" s="3"/>
    </row>
    <row r="233" spans="1:7" ht="12.75">
      <c r="A233" s="3"/>
      <c r="B233" s="3"/>
      <c r="C233" s="8"/>
      <c r="D233" s="3"/>
      <c r="E233" s="3"/>
      <c r="F233" s="3"/>
      <c r="G233" s="3"/>
    </row>
    <row r="234" spans="1:7" ht="12.75">
      <c r="A234" s="3"/>
      <c r="B234" s="3"/>
      <c r="C234" s="8"/>
      <c r="D234" s="3"/>
      <c r="E234" s="3"/>
      <c r="F234" s="3"/>
      <c r="G234" s="3"/>
    </row>
    <row r="235" spans="1:7" ht="12.75">
      <c r="A235" s="3"/>
      <c r="B235" s="3"/>
      <c r="C235" s="8"/>
      <c r="D235" s="3"/>
      <c r="E235" s="3"/>
      <c r="F235" s="3"/>
      <c r="G235" s="3"/>
    </row>
    <row r="236" spans="1:7" ht="12.75">
      <c r="A236" s="3"/>
      <c r="B236" s="3"/>
      <c r="C236" s="8"/>
      <c r="D236" s="3"/>
      <c r="E236" s="3"/>
      <c r="F236" s="3"/>
      <c r="G236" s="3"/>
    </row>
    <row r="237" spans="1:7" ht="12.75">
      <c r="A237" s="3"/>
      <c r="B237" s="3"/>
      <c r="C237" s="8"/>
      <c r="D237" s="3"/>
      <c r="E237" s="3"/>
      <c r="F237" s="3"/>
      <c r="G237" s="3"/>
    </row>
    <row r="238" spans="1:7" ht="12.75">
      <c r="A238" s="3"/>
      <c r="B238" s="3"/>
      <c r="C238" s="8"/>
      <c r="D238" s="3"/>
      <c r="E238" s="3"/>
      <c r="F238" s="3"/>
      <c r="G238" s="3"/>
    </row>
    <row r="239" spans="1:7" ht="12.75">
      <c r="A239" s="3"/>
      <c r="B239" s="3"/>
      <c r="C239" s="8"/>
      <c r="D239" s="3"/>
      <c r="E239" s="3"/>
      <c r="F239" s="3"/>
      <c r="G239" s="3"/>
    </row>
    <row r="240" spans="1:7" ht="12.75">
      <c r="A240" s="3"/>
      <c r="B240" s="3"/>
      <c r="C240" s="8"/>
      <c r="D240" s="3"/>
      <c r="E240" s="3"/>
      <c r="F240" s="3"/>
      <c r="G240" s="3"/>
    </row>
    <row r="241" spans="1:7" ht="12.75">
      <c r="A241" s="3"/>
      <c r="B241" s="3"/>
      <c r="C241" s="8"/>
      <c r="D241" s="3"/>
      <c r="E241" s="3"/>
      <c r="F241" s="3"/>
      <c r="G241" s="3"/>
    </row>
    <row r="242" spans="1:7" ht="12.75">
      <c r="A242" s="3"/>
      <c r="B242" s="3"/>
      <c r="C242" s="8"/>
      <c r="D242" s="3"/>
      <c r="E242" s="3"/>
      <c r="F242" s="3"/>
      <c r="G242" s="3"/>
    </row>
    <row r="243" spans="1:7" ht="12.75">
      <c r="A243" s="3"/>
      <c r="B243" s="3"/>
      <c r="C243" s="8"/>
      <c r="D243" s="3"/>
      <c r="E243" s="3"/>
      <c r="F243" s="3"/>
      <c r="G243" s="3"/>
    </row>
    <row r="244" spans="1:7" ht="12.75">
      <c r="A244" s="3"/>
      <c r="B244" s="3"/>
      <c r="C244" s="8"/>
      <c r="D244" s="3"/>
      <c r="E244" s="3"/>
      <c r="F244" s="3"/>
      <c r="G244" s="3"/>
    </row>
    <row r="245" spans="1:7" ht="12.75">
      <c r="A245" s="3"/>
      <c r="B245" s="3"/>
      <c r="C245" s="8"/>
      <c r="D245" s="3"/>
      <c r="E245" s="3"/>
      <c r="F245" s="3"/>
      <c r="G245" s="3"/>
    </row>
    <row r="246" spans="1:7" ht="12.75">
      <c r="A246" s="3"/>
      <c r="B246" s="3"/>
      <c r="C246" s="8"/>
      <c r="D246" s="3"/>
      <c r="E246" s="3"/>
      <c r="F246" s="3"/>
      <c r="G246" s="3"/>
    </row>
    <row r="247" spans="1:7" ht="12.75">
      <c r="A247" s="3"/>
      <c r="B247" s="3"/>
      <c r="C247" s="8"/>
      <c r="D247" s="3"/>
      <c r="E247" s="3"/>
      <c r="F247" s="3"/>
      <c r="G247" s="3"/>
    </row>
    <row r="248" spans="1:7" ht="12.75">
      <c r="A248" s="3"/>
      <c r="B248" s="3"/>
      <c r="C248" s="8"/>
      <c r="D248" s="3"/>
      <c r="E248" s="3"/>
      <c r="F248" s="3"/>
      <c r="G248" s="3"/>
    </row>
    <row r="249" spans="1:7" ht="12.75">
      <c r="A249" s="3"/>
      <c r="B249" s="3"/>
      <c r="C249" s="8"/>
      <c r="D249" s="3"/>
      <c r="E249" s="3"/>
      <c r="F249" s="3"/>
      <c r="G249" s="3"/>
    </row>
    <row r="250" spans="1:7" ht="12.75">
      <c r="A250" s="3"/>
      <c r="B250" s="3"/>
      <c r="C250" s="8"/>
      <c r="D250" s="3"/>
      <c r="E250" s="3"/>
      <c r="F250" s="3"/>
      <c r="G250" s="3"/>
    </row>
    <row r="251" spans="1:7" ht="12.75">
      <c r="A251" s="3"/>
      <c r="B251" s="3"/>
      <c r="C251" s="8"/>
      <c r="D251" s="3"/>
      <c r="E251" s="3"/>
      <c r="F251" s="3"/>
      <c r="G251" s="3"/>
    </row>
    <row r="252" spans="1:7" ht="12.75">
      <c r="A252" s="3"/>
      <c r="B252" s="3"/>
      <c r="C252" s="8"/>
      <c r="D252" s="3"/>
      <c r="E252" s="3"/>
      <c r="F252" s="3"/>
      <c r="G252" s="3"/>
    </row>
    <row r="253" spans="1:7" ht="12.75">
      <c r="A253" s="3"/>
      <c r="B253" s="3"/>
      <c r="C253" s="8"/>
      <c r="D253" s="3"/>
      <c r="E253" s="3"/>
      <c r="F253" s="3"/>
      <c r="G253" s="3"/>
    </row>
    <row r="254" spans="1:7" ht="12.75">
      <c r="A254" s="3"/>
      <c r="B254" s="3"/>
      <c r="C254" s="8"/>
      <c r="D254" s="3"/>
      <c r="E254" s="3"/>
      <c r="F254" s="3"/>
      <c r="G254" s="3"/>
    </row>
    <row r="255" spans="1:7" ht="12.75">
      <c r="A255" s="3"/>
      <c r="B255" s="3"/>
      <c r="C255" s="8"/>
      <c r="D255" s="3"/>
      <c r="E255" s="3"/>
      <c r="F255" s="3"/>
      <c r="G255" s="3"/>
    </row>
    <row r="256" spans="1:7" ht="12.75">
      <c r="A256" s="3"/>
      <c r="B256" s="3"/>
      <c r="C256" s="8"/>
      <c r="D256" s="3"/>
      <c r="E256" s="3"/>
      <c r="F256" s="3"/>
      <c r="G256" s="3"/>
    </row>
    <row r="257" spans="1:7" ht="12.75">
      <c r="A257" s="3"/>
      <c r="B257" s="3"/>
      <c r="C257" s="8"/>
      <c r="D257" s="3"/>
      <c r="E257" s="3"/>
      <c r="F257" s="3"/>
      <c r="G257" s="3"/>
    </row>
    <row r="258" spans="1:7" ht="12.75">
      <c r="A258" s="3"/>
      <c r="B258" s="3"/>
      <c r="C258" s="8"/>
      <c r="D258" s="3"/>
      <c r="E258" s="3"/>
      <c r="F258" s="3"/>
      <c r="G258" s="3"/>
    </row>
    <row r="259" spans="1:7" ht="12.75">
      <c r="A259" s="3"/>
      <c r="B259" s="3"/>
      <c r="C259" s="8"/>
      <c r="D259" s="3"/>
      <c r="E259" s="3"/>
      <c r="F259" s="3"/>
      <c r="G259" s="3"/>
    </row>
    <row r="260" spans="1:7" ht="12.75">
      <c r="A260" s="3"/>
      <c r="B260" s="3"/>
      <c r="C260" s="8"/>
      <c r="D260" s="3"/>
      <c r="E260" s="3"/>
      <c r="F260" s="3"/>
      <c r="G260" s="3"/>
    </row>
    <row r="261" spans="1:7" ht="12.75">
      <c r="A261" s="3"/>
      <c r="B261" s="3"/>
      <c r="C261" s="8"/>
      <c r="D261" s="3"/>
      <c r="E261" s="3"/>
      <c r="F261" s="3"/>
      <c r="G261" s="3"/>
    </row>
    <row r="262" spans="1:7" ht="12.75">
      <c r="A262" s="3"/>
      <c r="B262" s="3"/>
      <c r="C262" s="8"/>
      <c r="D262" s="3"/>
      <c r="E262" s="3"/>
      <c r="F262" s="3"/>
      <c r="G262" s="3"/>
    </row>
    <row r="263" spans="1:7" ht="12.75">
      <c r="A263" s="3"/>
      <c r="B263" s="3"/>
      <c r="C263" s="8"/>
      <c r="D263" s="3"/>
      <c r="E263" s="3"/>
      <c r="F263" s="3"/>
      <c r="G263" s="3"/>
    </row>
    <row r="264" spans="1:7" ht="12.75">
      <c r="A264" s="3"/>
      <c r="B264" s="3"/>
      <c r="C264" s="8"/>
      <c r="D264" s="3"/>
      <c r="E264" s="3"/>
      <c r="F264" s="3"/>
      <c r="G264" s="3"/>
    </row>
    <row r="265" spans="1:7" ht="12.75">
      <c r="A265" s="3"/>
      <c r="B265" s="3"/>
      <c r="C265" s="8"/>
      <c r="D265" s="3"/>
      <c r="E265" s="3"/>
      <c r="F265" s="3"/>
      <c r="G265" s="3"/>
    </row>
    <row r="266" spans="1:7" ht="12.75">
      <c r="A266" s="3"/>
      <c r="B266" s="3"/>
      <c r="C266" s="8"/>
      <c r="D266" s="3"/>
      <c r="E266" s="3"/>
      <c r="F266" s="3"/>
      <c r="G266" s="3"/>
    </row>
    <row r="267" spans="1:7" ht="12.75">
      <c r="A267" s="3"/>
      <c r="B267" s="3"/>
      <c r="C267" s="8"/>
      <c r="D267" s="3"/>
      <c r="E267" s="3"/>
      <c r="F267" s="3"/>
      <c r="G267" s="3"/>
    </row>
    <row r="268" spans="1:7" ht="12.75">
      <c r="A268" s="3"/>
      <c r="B268" s="3"/>
      <c r="C268" s="8"/>
      <c r="D268" s="3"/>
      <c r="E268" s="3"/>
      <c r="F268" s="3"/>
      <c r="G268" s="3"/>
    </row>
    <row r="269" spans="1:7" ht="12.75">
      <c r="A269" s="3"/>
      <c r="B269" s="3"/>
      <c r="C269" s="8"/>
      <c r="D269" s="3"/>
      <c r="E269" s="3"/>
      <c r="F269" s="3"/>
      <c r="G269" s="3"/>
    </row>
    <row r="270" spans="1:7" ht="12.75">
      <c r="A270" s="3"/>
      <c r="B270" s="3"/>
      <c r="C270" s="8"/>
      <c r="D270" s="3"/>
      <c r="E270" s="3"/>
      <c r="F270" s="3"/>
      <c r="G270" s="3"/>
    </row>
    <row r="271" spans="1:7" ht="12.75">
      <c r="A271" s="3"/>
      <c r="B271" s="3"/>
      <c r="C271" s="8"/>
      <c r="D271" s="3"/>
      <c r="E271" s="3"/>
      <c r="F271" s="3"/>
      <c r="G271" s="3"/>
    </row>
    <row r="272" spans="1:7" ht="12.75">
      <c r="A272" s="3"/>
      <c r="B272" s="3"/>
      <c r="C272" s="8"/>
      <c r="D272" s="3"/>
      <c r="E272" s="3"/>
      <c r="F272" s="3"/>
      <c r="G272" s="3"/>
    </row>
    <row r="273" spans="1:7" ht="12.75">
      <c r="A273" s="3"/>
      <c r="B273" s="3"/>
      <c r="C273" s="8"/>
      <c r="D273" s="3"/>
      <c r="E273" s="3"/>
      <c r="F273" s="3"/>
      <c r="G273" s="3"/>
    </row>
    <row r="274" spans="1:7" ht="12.75">
      <c r="A274" s="3"/>
      <c r="B274" s="3"/>
      <c r="C274" s="8"/>
      <c r="D274" s="3"/>
      <c r="E274" s="3"/>
      <c r="F274" s="3"/>
      <c r="G274" s="3"/>
    </row>
    <row r="275" spans="1:7" ht="12.75">
      <c r="A275" s="3"/>
      <c r="B275" s="3"/>
      <c r="C275" s="8"/>
      <c r="D275" s="3"/>
      <c r="E275" s="3"/>
      <c r="F275" s="3"/>
      <c r="G275" s="3"/>
    </row>
    <row r="276" spans="1:7" ht="12.75">
      <c r="A276" s="3"/>
      <c r="B276" s="3"/>
      <c r="C276" s="8"/>
      <c r="D276" s="3"/>
      <c r="E276" s="3"/>
      <c r="F276" s="3"/>
      <c r="G276" s="3"/>
    </row>
    <row r="277" spans="1:7" ht="12.75">
      <c r="A277" s="3"/>
      <c r="B277" s="3"/>
      <c r="C277" s="8"/>
      <c r="D277" s="3"/>
      <c r="E277" s="3"/>
      <c r="F277" s="3"/>
      <c r="G277" s="3"/>
    </row>
    <row r="278" spans="1:7" ht="12.75">
      <c r="A278" s="3"/>
      <c r="B278" s="3"/>
      <c r="C278" s="8"/>
      <c r="D278" s="3"/>
      <c r="E278" s="3"/>
      <c r="F278" s="3"/>
      <c r="G278" s="3"/>
    </row>
    <row r="279" spans="1:7" ht="12.75">
      <c r="A279" s="3"/>
      <c r="B279" s="3"/>
      <c r="C279" s="8"/>
      <c r="D279" s="3"/>
      <c r="E279" s="3"/>
      <c r="F279" s="3"/>
      <c r="G279" s="3"/>
    </row>
    <row r="280" spans="1:7" ht="12.75">
      <c r="A280" s="3"/>
      <c r="B280" s="3"/>
      <c r="C280" s="8"/>
      <c r="D280" s="3"/>
      <c r="E280" s="3"/>
      <c r="F280" s="3"/>
      <c r="G280" s="3"/>
    </row>
    <row r="281" spans="1:7" ht="12.75">
      <c r="A281" s="3"/>
      <c r="B281" s="3"/>
      <c r="C281" s="8"/>
      <c r="D281" s="3"/>
      <c r="E281" s="3"/>
      <c r="F281" s="3"/>
      <c r="G281" s="3"/>
    </row>
    <row r="282" spans="1:7" ht="12.75">
      <c r="A282" s="3"/>
      <c r="B282" s="3"/>
      <c r="C282" s="8"/>
      <c r="D282" s="3"/>
      <c r="E282" s="3"/>
      <c r="F282" s="3"/>
      <c r="G282" s="3"/>
    </row>
    <row r="283" spans="1:7" ht="12.75">
      <c r="A283" s="3"/>
      <c r="B283" s="3"/>
      <c r="C283" s="8"/>
      <c r="D283" s="3"/>
      <c r="E283" s="3"/>
      <c r="F283" s="3"/>
      <c r="G283" s="3"/>
    </row>
    <row r="284" spans="1:7" ht="12.75">
      <c r="A284" s="3"/>
      <c r="B284" s="3"/>
      <c r="C284" s="8"/>
      <c r="D284" s="3"/>
      <c r="E284" s="3"/>
      <c r="F284" s="3"/>
      <c r="G284" s="3"/>
    </row>
    <row r="285" spans="1:7" ht="12.75">
      <c r="A285" s="3"/>
      <c r="B285" s="3"/>
      <c r="C285" s="8"/>
      <c r="D285" s="3"/>
      <c r="E285" s="3"/>
      <c r="F285" s="3"/>
      <c r="G285" s="3"/>
    </row>
    <row r="286" spans="1:7" ht="12.75">
      <c r="A286" s="3"/>
      <c r="B286" s="3"/>
      <c r="C286" s="8"/>
      <c r="D286" s="3"/>
      <c r="E286" s="3"/>
      <c r="F286" s="3"/>
      <c r="G286" s="3"/>
    </row>
    <row r="287" spans="1:7" ht="12.75">
      <c r="A287" s="3"/>
      <c r="B287" s="3"/>
      <c r="C287" s="8"/>
      <c r="D287" s="3"/>
      <c r="E287" s="3"/>
      <c r="F287" s="3"/>
      <c r="G287" s="3"/>
    </row>
    <row r="288" spans="1:7" ht="12.75">
      <c r="A288" s="3"/>
      <c r="B288" s="3"/>
      <c r="C288" s="8"/>
      <c r="D288" s="3"/>
      <c r="E288" s="3"/>
      <c r="F288" s="3"/>
      <c r="G288" s="3"/>
    </row>
    <row r="289" spans="1:7" ht="12.75">
      <c r="A289" s="3"/>
      <c r="B289" s="3"/>
      <c r="C289" s="8"/>
      <c r="D289" s="3"/>
      <c r="E289" s="3"/>
      <c r="F289" s="3"/>
      <c r="G289" s="3"/>
    </row>
    <row r="290" spans="1:7" ht="12.75">
      <c r="A290" s="3"/>
      <c r="B290" s="3"/>
      <c r="C290" s="8"/>
      <c r="D290" s="3"/>
      <c r="E290" s="3"/>
      <c r="F290" s="3"/>
      <c r="G290" s="3"/>
    </row>
    <row r="291" spans="1:7" ht="12.75">
      <c r="A291" s="3"/>
      <c r="B291" s="3"/>
      <c r="C291" s="8"/>
      <c r="D291" s="3"/>
      <c r="E291" s="3"/>
      <c r="F291" s="3"/>
      <c r="G291" s="3"/>
    </row>
    <row r="292" spans="1:7" ht="12.75">
      <c r="A292" s="3"/>
      <c r="B292" s="3"/>
      <c r="C292" s="8"/>
      <c r="D292" s="3"/>
      <c r="E292" s="3"/>
      <c r="F292" s="3"/>
      <c r="G292" s="3"/>
    </row>
    <row r="293" spans="1:7" ht="12.75">
      <c r="A293" s="3"/>
      <c r="B293" s="3"/>
      <c r="C293" s="8"/>
      <c r="D293" s="3"/>
      <c r="E293" s="3"/>
      <c r="F293" s="3"/>
      <c r="G293" s="3"/>
    </row>
    <row r="294" spans="1:7" ht="12.75">
      <c r="A294" s="3"/>
      <c r="B294" s="3"/>
      <c r="C294" s="8"/>
      <c r="D294" s="3"/>
      <c r="E294" s="3"/>
      <c r="F294" s="3"/>
      <c r="G294" s="3"/>
    </row>
    <row r="295" spans="1:7" ht="12.75">
      <c r="A295" s="3"/>
      <c r="B295" s="3"/>
      <c r="C295" s="8"/>
      <c r="D295" s="3"/>
      <c r="E295" s="3"/>
      <c r="F295" s="3"/>
      <c r="G295" s="3"/>
    </row>
    <row r="296" spans="1:7" ht="12.75">
      <c r="A296" s="3"/>
      <c r="B296" s="3"/>
      <c r="C296" s="8"/>
      <c r="D296" s="3"/>
      <c r="E296" s="3"/>
      <c r="F296" s="3"/>
      <c r="G296" s="3"/>
    </row>
    <row r="297" spans="1:7" ht="12.75">
      <c r="A297" s="3"/>
      <c r="B297" s="3"/>
      <c r="C297" s="8"/>
      <c r="D297" s="3"/>
      <c r="E297" s="3"/>
      <c r="F297" s="3"/>
      <c r="G297" s="3"/>
    </row>
    <row r="298" spans="1:7" ht="12.75">
      <c r="A298" s="3"/>
      <c r="B298" s="3"/>
      <c r="C298" s="8"/>
      <c r="D298" s="3"/>
      <c r="E298" s="3"/>
      <c r="F298" s="3"/>
      <c r="G298" s="3"/>
    </row>
    <row r="299" spans="1:7" ht="12.75">
      <c r="A299" s="3"/>
      <c r="B299" s="3"/>
      <c r="C299" s="8"/>
      <c r="D299" s="3"/>
      <c r="E299" s="3"/>
      <c r="F299" s="3"/>
      <c r="G299" s="3"/>
    </row>
    <row r="300" spans="1:7" ht="12.75">
      <c r="A300" s="3"/>
      <c r="B300" s="3"/>
      <c r="C300" s="8"/>
      <c r="D300" s="3"/>
      <c r="E300" s="3"/>
      <c r="F300" s="3"/>
      <c r="G300" s="3"/>
    </row>
    <row r="301" spans="1:7" ht="12.75">
      <c r="A301" s="3"/>
      <c r="B301" s="3"/>
      <c r="C301" s="8"/>
      <c r="D301" s="3"/>
      <c r="E301" s="3"/>
      <c r="F301" s="3"/>
      <c r="G301" s="3"/>
    </row>
    <row r="302" spans="1:7" ht="12.75">
      <c r="A302" s="3"/>
      <c r="B302" s="3"/>
      <c r="C302" s="8"/>
      <c r="D302" s="3"/>
      <c r="E302" s="3"/>
      <c r="F302" s="3"/>
      <c r="G302" s="3"/>
    </row>
    <row r="303" spans="1:7" ht="12.75">
      <c r="A303" s="3"/>
      <c r="B303" s="3"/>
      <c r="C303" s="8"/>
      <c r="D303" s="3"/>
      <c r="E303" s="3"/>
      <c r="F303" s="3"/>
      <c r="G303" s="3"/>
    </row>
    <row r="304" spans="1:7" ht="12.75">
      <c r="A304" s="3"/>
      <c r="B304" s="3"/>
      <c r="C304" s="8"/>
      <c r="D304" s="3"/>
      <c r="E304" s="3"/>
      <c r="F304" s="3"/>
      <c r="G304" s="3"/>
    </row>
    <row r="305" spans="1:7" ht="12.75">
      <c r="A305" s="3"/>
      <c r="B305" s="3"/>
      <c r="C305" s="8"/>
      <c r="D305" s="3"/>
      <c r="E305" s="3"/>
      <c r="F305" s="3"/>
      <c r="G305" s="3"/>
    </row>
    <row r="306" spans="1:7" ht="12.75">
      <c r="A306" s="3"/>
      <c r="B306" s="3"/>
      <c r="C306" s="8"/>
      <c r="D306" s="3"/>
      <c r="E306" s="3"/>
      <c r="F306" s="3"/>
      <c r="G306" s="3"/>
    </row>
    <row r="307" spans="1:7" ht="12.75">
      <c r="A307" s="3"/>
      <c r="B307" s="3"/>
      <c r="C307" s="8"/>
      <c r="D307" s="3"/>
      <c r="E307" s="3"/>
      <c r="F307" s="3"/>
      <c r="G307" s="3"/>
    </row>
    <row r="308" spans="1:7" ht="12.75">
      <c r="A308" s="3"/>
      <c r="B308" s="3"/>
      <c r="C308" s="8"/>
      <c r="D308" s="3"/>
      <c r="E308" s="3"/>
      <c r="F308" s="3"/>
      <c r="G308" s="3"/>
    </row>
    <row r="309" spans="1:7" ht="12.75">
      <c r="A309" s="3"/>
      <c r="B309" s="3"/>
      <c r="C309" s="8"/>
      <c r="D309" s="3"/>
      <c r="E309" s="3"/>
      <c r="F309" s="3"/>
      <c r="G309" s="3"/>
    </row>
    <row r="310" spans="1:7" ht="12.75">
      <c r="A310" s="3"/>
      <c r="B310" s="3"/>
      <c r="C310" s="8"/>
      <c r="D310" s="3"/>
      <c r="E310" s="3"/>
      <c r="F310" s="3"/>
      <c r="G310" s="3"/>
    </row>
    <row r="311" spans="1:7" ht="12.75">
      <c r="A311" s="3"/>
      <c r="B311" s="3"/>
      <c r="C311" s="8"/>
      <c r="D311" s="3"/>
      <c r="E311" s="3"/>
      <c r="F311" s="3"/>
      <c r="G311" s="3"/>
    </row>
    <row r="312" spans="1:7" ht="12.75">
      <c r="A312" s="3"/>
      <c r="B312" s="3"/>
      <c r="C312" s="8"/>
      <c r="D312" s="3"/>
      <c r="E312" s="3"/>
      <c r="F312" s="3"/>
      <c r="G312" s="3"/>
    </row>
    <row r="313" spans="1:7" ht="12.75">
      <c r="A313" s="3"/>
      <c r="B313" s="3"/>
      <c r="C313" s="8"/>
      <c r="D313" s="3"/>
      <c r="E313" s="3"/>
      <c r="F313" s="3"/>
      <c r="G313" s="3"/>
    </row>
    <row r="314" spans="1:7" ht="12.75">
      <c r="A314" s="3"/>
      <c r="B314" s="3"/>
      <c r="C314" s="8"/>
      <c r="D314" s="3"/>
      <c r="E314" s="3"/>
      <c r="F314" s="3"/>
      <c r="G314" s="3"/>
    </row>
    <row r="315" spans="1:7" ht="12.75">
      <c r="A315" s="3"/>
      <c r="B315" s="3"/>
      <c r="C315" s="8"/>
      <c r="D315" s="3"/>
      <c r="E315" s="3"/>
      <c r="F315" s="3"/>
      <c r="G315" s="3"/>
    </row>
    <row r="316" spans="1:7" ht="12.75">
      <c r="A316" s="3"/>
      <c r="B316" s="3"/>
      <c r="C316" s="8"/>
      <c r="D316" s="3"/>
      <c r="E316" s="3"/>
      <c r="F316" s="3"/>
      <c r="G316" s="3"/>
    </row>
    <row r="317" spans="1:7" ht="12.75">
      <c r="A317" s="3"/>
      <c r="B317" s="3"/>
      <c r="C317" s="8"/>
      <c r="D317" s="3"/>
      <c r="E317" s="3"/>
      <c r="F317" s="3"/>
      <c r="G317" s="3"/>
    </row>
    <row r="318" spans="1:7" ht="12.75">
      <c r="A318" s="3"/>
      <c r="B318" s="3"/>
      <c r="C318" s="8"/>
      <c r="D318" s="3"/>
      <c r="E318" s="3"/>
      <c r="F318" s="3"/>
      <c r="G318" s="3"/>
    </row>
    <row r="319" spans="1:7" ht="12.75">
      <c r="A319" s="3"/>
      <c r="B319" s="3"/>
      <c r="C319" s="8"/>
      <c r="D319" s="3"/>
      <c r="E319" s="3"/>
      <c r="F319" s="3"/>
      <c r="G319" s="3"/>
    </row>
    <row r="320" spans="1:7" ht="12.75">
      <c r="A320" s="3"/>
      <c r="B320" s="3"/>
      <c r="C320" s="8"/>
      <c r="D320" s="3"/>
      <c r="E320" s="3"/>
      <c r="F320" s="3"/>
      <c r="G320" s="3"/>
    </row>
    <row r="321" spans="1:7" ht="12.75">
      <c r="A321" s="3"/>
      <c r="B321" s="3"/>
      <c r="C321" s="8"/>
      <c r="D321" s="3"/>
      <c r="E321" s="3"/>
      <c r="F321" s="3"/>
      <c r="G321" s="3"/>
    </row>
    <row r="322" spans="1:7" ht="12.75">
      <c r="A322" s="3"/>
      <c r="B322" s="3"/>
      <c r="C322" s="8"/>
      <c r="D322" s="3"/>
      <c r="E322" s="3"/>
      <c r="F322" s="3"/>
      <c r="G322" s="3"/>
    </row>
    <row r="323" spans="1:7" ht="12.75">
      <c r="A323" s="3"/>
      <c r="B323" s="3"/>
      <c r="C323" s="8"/>
      <c r="D323" s="3"/>
      <c r="E323" s="3"/>
      <c r="F323" s="3"/>
      <c r="G323" s="3"/>
    </row>
    <row r="324" spans="1:7" ht="12.75">
      <c r="A324" s="3"/>
      <c r="B324" s="3"/>
      <c r="C324" s="8"/>
      <c r="D324" s="3"/>
      <c r="E324" s="3"/>
      <c r="F324" s="3"/>
      <c r="G324" s="3"/>
    </row>
    <row r="325" spans="1:7" ht="12.75">
      <c r="A325" s="3"/>
      <c r="B325" s="3"/>
      <c r="C325" s="8"/>
      <c r="D325" s="3"/>
      <c r="E325" s="3"/>
      <c r="F325" s="3"/>
      <c r="G325" s="3"/>
    </row>
    <row r="326" spans="1:7" ht="12.75">
      <c r="A326" s="3"/>
      <c r="B326" s="3"/>
      <c r="C326" s="8"/>
      <c r="D326" s="3"/>
      <c r="E326" s="3"/>
      <c r="F326" s="3"/>
      <c r="G326" s="3"/>
    </row>
    <row r="327" spans="1:7" ht="12.75">
      <c r="A327" s="3"/>
      <c r="B327" s="3"/>
      <c r="C327" s="8"/>
      <c r="D327" s="3"/>
      <c r="E327" s="3"/>
      <c r="F327" s="3"/>
      <c r="G327" s="3"/>
    </row>
    <row r="328" spans="1:7" ht="12.75">
      <c r="A328" s="3"/>
      <c r="B328" s="3"/>
      <c r="C328" s="8"/>
      <c r="D328" s="3"/>
      <c r="E328" s="3"/>
      <c r="F328" s="3"/>
      <c r="G328" s="3"/>
    </row>
    <row r="329" spans="1:7" ht="12.75">
      <c r="A329" s="3"/>
      <c r="B329" s="3"/>
      <c r="C329" s="8"/>
      <c r="D329" s="3"/>
      <c r="E329" s="3"/>
      <c r="F329" s="3"/>
      <c r="G329" s="3"/>
    </row>
    <row r="330" spans="1:7" ht="12.75">
      <c r="A330" s="3"/>
      <c r="B330" s="3"/>
      <c r="C330" s="8"/>
      <c r="D330" s="3"/>
      <c r="E330" s="3"/>
      <c r="F330" s="3"/>
      <c r="G330" s="3"/>
    </row>
    <row r="331" spans="1:7" ht="12.75">
      <c r="A331" s="3"/>
      <c r="B331" s="3"/>
      <c r="C331" s="8"/>
      <c r="D331" s="3"/>
      <c r="E331" s="3"/>
      <c r="F331" s="3"/>
      <c r="G331" s="3"/>
    </row>
    <row r="332" spans="1:7" ht="12.75">
      <c r="A332" s="3"/>
      <c r="B332" s="3"/>
      <c r="C332" s="8"/>
      <c r="D332" s="3"/>
      <c r="E332" s="3"/>
      <c r="F332" s="3"/>
      <c r="G332" s="3"/>
    </row>
    <row r="333" spans="1:7" ht="12.75">
      <c r="A333" s="3"/>
      <c r="B333" s="3"/>
      <c r="C333" s="8"/>
      <c r="D333" s="3"/>
      <c r="E333" s="3"/>
      <c r="F333" s="3"/>
      <c r="G333" s="3"/>
    </row>
    <row r="334" spans="1:7" ht="12.75">
      <c r="A334" s="3"/>
      <c r="B334" s="3"/>
      <c r="C334" s="8"/>
      <c r="D334" s="3"/>
      <c r="E334" s="3"/>
      <c r="F334" s="3"/>
      <c r="G334" s="3"/>
    </row>
    <row r="335" spans="1:7" ht="12.75">
      <c r="A335" s="3"/>
      <c r="B335" s="3"/>
      <c r="C335" s="8"/>
      <c r="D335" s="3"/>
      <c r="E335" s="3"/>
      <c r="F335" s="3"/>
      <c r="G335" s="3"/>
    </row>
    <row r="336" spans="1:7" ht="12.75">
      <c r="A336" s="3"/>
      <c r="B336" s="3"/>
      <c r="C336" s="8"/>
      <c r="D336" s="3"/>
      <c r="E336" s="3"/>
      <c r="F336" s="3"/>
      <c r="G336" s="3"/>
    </row>
    <row r="337" spans="1:7" ht="12.75">
      <c r="A337" s="3"/>
      <c r="B337" s="3"/>
      <c r="C337" s="8"/>
      <c r="D337" s="3"/>
      <c r="E337" s="3"/>
      <c r="F337" s="3"/>
      <c r="G337" s="3"/>
    </row>
    <row r="338" spans="1:7" ht="12.75">
      <c r="A338" s="3"/>
      <c r="B338" s="3"/>
      <c r="C338" s="8"/>
      <c r="D338" s="3"/>
      <c r="E338" s="3"/>
      <c r="F338" s="3"/>
      <c r="G338" s="3"/>
    </row>
    <row r="339" spans="1:7" ht="12.75">
      <c r="A339" s="3"/>
      <c r="B339" s="3"/>
      <c r="C339" s="8"/>
      <c r="D339" s="3"/>
      <c r="E339" s="3"/>
      <c r="F339" s="3"/>
      <c r="G339" s="3"/>
    </row>
    <row r="340" spans="1:7" ht="12.75">
      <c r="A340" s="3"/>
      <c r="B340" s="3"/>
      <c r="C340" s="8"/>
      <c r="D340" s="3"/>
      <c r="E340" s="3"/>
      <c r="F340" s="3"/>
      <c r="G340" s="3"/>
    </row>
    <row r="341" spans="1:7" ht="12.75">
      <c r="A341" s="3"/>
      <c r="B341" s="3"/>
      <c r="C341" s="8"/>
      <c r="D341" s="3"/>
      <c r="E341" s="3"/>
      <c r="F341" s="3"/>
      <c r="G341" s="3"/>
    </row>
    <row r="342" spans="1:7" ht="12.75">
      <c r="A342" s="3"/>
      <c r="B342" s="3"/>
      <c r="C342" s="8"/>
      <c r="D342" s="3"/>
      <c r="E342" s="3"/>
      <c r="F342" s="3"/>
      <c r="G342" s="3"/>
    </row>
    <row r="343" spans="1:7" ht="12.75">
      <c r="A343" s="3"/>
      <c r="B343" s="3"/>
      <c r="C343" s="8"/>
      <c r="D343" s="3"/>
      <c r="E343" s="3"/>
      <c r="F343" s="3"/>
      <c r="G343" s="3"/>
    </row>
    <row r="344" spans="1:7" ht="12.75">
      <c r="A344" s="3"/>
      <c r="B344" s="3"/>
      <c r="C344" s="8"/>
      <c r="D344" s="3"/>
      <c r="E344" s="3"/>
      <c r="F344" s="3"/>
      <c r="G344" s="3"/>
    </row>
    <row r="345" spans="1:7" ht="12.75">
      <c r="A345" s="3"/>
      <c r="B345" s="3"/>
      <c r="C345" s="8"/>
      <c r="D345" s="3"/>
      <c r="E345" s="3"/>
      <c r="F345" s="3"/>
      <c r="G345" s="3"/>
    </row>
    <row r="346" spans="1:7" ht="12.75">
      <c r="A346" s="3"/>
      <c r="B346" s="3"/>
      <c r="C346" s="8"/>
      <c r="D346" s="3"/>
      <c r="E346" s="3"/>
      <c r="F346" s="3"/>
      <c r="G346" s="3"/>
    </row>
    <row r="347" spans="1:7" ht="12.75">
      <c r="A347" s="3"/>
      <c r="B347" s="3"/>
      <c r="C347" s="8"/>
      <c r="D347" s="3"/>
      <c r="E347" s="3"/>
      <c r="F347" s="3"/>
      <c r="G347" s="3"/>
    </row>
    <row r="348" spans="1:7" ht="12.75">
      <c r="A348" s="3"/>
      <c r="B348" s="3"/>
      <c r="C348" s="8"/>
      <c r="D348" s="3"/>
      <c r="E348" s="3"/>
      <c r="F348" s="3"/>
      <c r="G348" s="3"/>
    </row>
    <row r="349" spans="1:7" ht="12.75">
      <c r="A349" s="3"/>
      <c r="B349" s="3"/>
      <c r="C349" s="8"/>
      <c r="D349" s="3"/>
      <c r="E349" s="3"/>
      <c r="F349" s="3"/>
      <c r="G349" s="3"/>
    </row>
    <row r="350" spans="1:7" ht="12.75">
      <c r="A350" s="3"/>
      <c r="B350" s="3"/>
      <c r="C350" s="8"/>
      <c r="D350" s="3"/>
      <c r="E350" s="3"/>
      <c r="F350" s="3"/>
      <c r="G350" s="3"/>
    </row>
    <row r="351" spans="1:7" ht="12.75">
      <c r="A351" s="3"/>
      <c r="B351" s="3"/>
      <c r="C351" s="8"/>
      <c r="D351" s="3"/>
      <c r="E351" s="3"/>
      <c r="F351" s="3"/>
      <c r="G351" s="3"/>
    </row>
    <row r="352" spans="1:7" ht="12.75">
      <c r="A352" s="3"/>
      <c r="B352" s="3"/>
      <c r="C352" s="8"/>
      <c r="D352" s="3"/>
      <c r="E352" s="3"/>
      <c r="F352" s="3"/>
      <c r="G352" s="3"/>
    </row>
    <row r="353" spans="1:7" ht="12.75">
      <c r="A353" s="3"/>
      <c r="B353" s="3"/>
      <c r="C353" s="8"/>
      <c r="D353" s="3"/>
      <c r="E353" s="3"/>
      <c r="F353" s="3"/>
      <c r="G353" s="3"/>
    </row>
    <row r="354" spans="1:7" ht="12.75">
      <c r="A354" s="3"/>
      <c r="B354" s="3"/>
      <c r="C354" s="8"/>
      <c r="D354" s="3"/>
      <c r="E354" s="3"/>
      <c r="F354" s="3"/>
      <c r="G354" s="3"/>
    </row>
    <row r="355" spans="1:7" ht="12.75">
      <c r="A355" s="3"/>
      <c r="B355" s="3"/>
      <c r="C355" s="8"/>
      <c r="D355" s="3"/>
      <c r="E355" s="3"/>
      <c r="F355" s="3"/>
      <c r="G355" s="3"/>
    </row>
    <row r="356" spans="1:7" ht="12.75">
      <c r="A356" s="3"/>
      <c r="B356" s="3"/>
      <c r="C356" s="8"/>
      <c r="D356" s="3"/>
      <c r="E356" s="3"/>
      <c r="F356" s="3"/>
      <c r="G356" s="3"/>
    </row>
    <row r="357" spans="1:7" ht="12.75">
      <c r="A357" s="3"/>
      <c r="B357" s="3"/>
      <c r="C357" s="8"/>
      <c r="D357" s="3"/>
      <c r="E357" s="3"/>
      <c r="F357" s="3"/>
      <c r="G357" s="3"/>
    </row>
    <row r="358" spans="1:7" ht="12.75">
      <c r="A358" s="3"/>
      <c r="B358" s="3"/>
      <c r="C358" s="8"/>
      <c r="D358" s="3"/>
      <c r="E358" s="3"/>
      <c r="F358" s="3"/>
      <c r="G358" s="3"/>
    </row>
    <row r="359" spans="1:7" ht="12.75">
      <c r="A359" s="3"/>
      <c r="B359" s="3"/>
      <c r="C359" s="8"/>
      <c r="D359" s="3"/>
      <c r="E359" s="3"/>
      <c r="F359" s="3"/>
      <c r="G359" s="3"/>
    </row>
    <row r="360" spans="1:7" ht="12.75">
      <c r="A360" s="3"/>
      <c r="B360" s="3"/>
      <c r="C360" s="8"/>
      <c r="D360" s="3"/>
      <c r="E360" s="3"/>
      <c r="F360" s="3"/>
      <c r="G360" s="3"/>
    </row>
    <row r="361" spans="1:7" ht="12.75">
      <c r="A361" s="3"/>
      <c r="B361" s="3"/>
      <c r="C361" s="8"/>
      <c r="D361" s="3"/>
      <c r="E361" s="3"/>
      <c r="F361" s="3"/>
      <c r="G361" s="3"/>
    </row>
    <row r="362" spans="1:7" ht="12.75">
      <c r="A362" s="3"/>
      <c r="B362" s="3"/>
      <c r="C362" s="8"/>
      <c r="D362" s="3"/>
      <c r="E362" s="3"/>
      <c r="F362" s="3"/>
      <c r="G362" s="3"/>
    </row>
    <row r="363" spans="1:7" ht="12.75">
      <c r="A363" s="3"/>
      <c r="B363" s="3"/>
      <c r="C363" s="8"/>
      <c r="D363" s="3"/>
      <c r="E363" s="3"/>
      <c r="F363" s="3"/>
      <c r="G363" s="3"/>
    </row>
    <row r="364" spans="1:7" ht="12.75">
      <c r="A364" s="3"/>
      <c r="B364" s="3"/>
      <c r="C364" s="8"/>
      <c r="D364" s="3"/>
      <c r="E364" s="3"/>
      <c r="F364" s="3"/>
      <c r="G364" s="3"/>
    </row>
    <row r="365" spans="1:7" ht="12.75">
      <c r="A365" s="3"/>
      <c r="B365" s="3"/>
      <c r="C365" s="8"/>
      <c r="D365" s="3"/>
      <c r="E365" s="3"/>
      <c r="F365" s="3"/>
      <c r="G365" s="3"/>
    </row>
    <row r="366" spans="1:7" ht="12.75">
      <c r="A366" s="3"/>
      <c r="B366" s="3"/>
      <c r="C366" s="8"/>
      <c r="D366" s="3"/>
      <c r="E366" s="3"/>
      <c r="F366" s="3"/>
      <c r="G366" s="3"/>
    </row>
    <row r="367" spans="1:7" ht="12.75">
      <c r="A367" s="3"/>
      <c r="B367" s="3"/>
      <c r="C367" s="8"/>
      <c r="D367" s="3"/>
      <c r="E367" s="3"/>
      <c r="F367" s="3"/>
      <c r="G367" s="3"/>
    </row>
    <row r="368" spans="1:7" ht="12.75">
      <c r="A368" s="3"/>
      <c r="B368" s="3"/>
      <c r="C368" s="8"/>
      <c r="D368" s="3"/>
      <c r="E368" s="3"/>
      <c r="F368" s="3"/>
      <c r="G368" s="3"/>
    </row>
    <row r="369" spans="1:7" ht="12.75">
      <c r="A369" s="3"/>
      <c r="B369" s="3"/>
      <c r="C369" s="8"/>
      <c r="D369" s="3"/>
      <c r="E369" s="3"/>
      <c r="F369" s="3"/>
      <c r="G369" s="3"/>
    </row>
    <row r="370" spans="1:7" ht="12.75">
      <c r="A370" s="3"/>
      <c r="B370" s="3"/>
      <c r="C370" s="8"/>
      <c r="D370" s="3"/>
      <c r="E370" s="3"/>
      <c r="F370" s="3"/>
      <c r="G370" s="3"/>
    </row>
    <row r="371" spans="1:7" ht="12.75">
      <c r="A371" s="3"/>
      <c r="B371" s="3"/>
      <c r="C371" s="8"/>
      <c r="D371" s="3"/>
      <c r="E371" s="3"/>
      <c r="F371" s="3"/>
      <c r="G371" s="3"/>
    </row>
    <row r="372" spans="1:7" ht="12.75">
      <c r="A372" s="3"/>
      <c r="B372" s="3"/>
      <c r="C372" s="8"/>
      <c r="D372" s="3"/>
      <c r="E372" s="3"/>
      <c r="F372" s="3"/>
      <c r="G372" s="3"/>
    </row>
    <row r="373" spans="1:7" ht="12.75">
      <c r="A373" s="3"/>
      <c r="B373" s="3"/>
      <c r="C373" s="8"/>
      <c r="D373" s="3"/>
      <c r="E373" s="3"/>
      <c r="F373" s="3"/>
      <c r="G373" s="3"/>
    </row>
    <row r="374" spans="1:7" ht="12.75">
      <c r="A374" s="3"/>
      <c r="B374" s="3"/>
      <c r="C374" s="8"/>
      <c r="D374" s="3"/>
      <c r="E374" s="3"/>
      <c r="F374" s="3"/>
      <c r="G374" s="3"/>
    </row>
    <row r="375" spans="1:7" ht="12.75">
      <c r="A375" s="3"/>
      <c r="B375" s="3"/>
      <c r="C375" s="8"/>
      <c r="D375" s="3"/>
      <c r="E375" s="3"/>
      <c r="F375" s="3"/>
      <c r="G375" s="3"/>
    </row>
    <row r="376" spans="1:7" ht="12.75">
      <c r="A376" s="3"/>
      <c r="B376" s="3"/>
      <c r="C376" s="8"/>
      <c r="D376" s="3"/>
      <c r="E376" s="3"/>
      <c r="F376" s="3"/>
      <c r="G376" s="3"/>
    </row>
    <row r="377" spans="1:7" ht="12.75">
      <c r="A377" s="3"/>
      <c r="B377" s="3"/>
      <c r="C377" s="8"/>
      <c r="D377" s="3"/>
      <c r="E377" s="3"/>
      <c r="F377" s="3"/>
      <c r="G377" s="3"/>
    </row>
    <row r="378" spans="1:7" ht="12.75">
      <c r="A378" s="3"/>
      <c r="B378" s="3"/>
      <c r="C378" s="8"/>
      <c r="D378" s="3"/>
      <c r="E378" s="3"/>
      <c r="F378" s="3"/>
      <c r="G378" s="3"/>
    </row>
    <row r="379" spans="1:7" ht="12.75">
      <c r="A379" s="3"/>
      <c r="B379" s="3"/>
      <c r="C379" s="8"/>
      <c r="D379" s="3"/>
      <c r="E379" s="3"/>
      <c r="F379" s="3"/>
      <c r="G379" s="3"/>
    </row>
    <row r="380" spans="1:7" ht="12.75">
      <c r="A380" s="3"/>
      <c r="B380" s="3"/>
      <c r="C380" s="8"/>
      <c r="D380" s="3"/>
      <c r="E380" s="3"/>
      <c r="F380" s="3"/>
      <c r="G380" s="3"/>
    </row>
    <row r="381" spans="1:7" ht="12.75">
      <c r="A381" s="3"/>
      <c r="B381" s="3"/>
      <c r="C381" s="8"/>
      <c r="D381" s="3"/>
      <c r="E381" s="3"/>
      <c r="F381" s="3"/>
      <c r="G381" s="3"/>
    </row>
    <row r="382" spans="1:7" ht="12.75">
      <c r="A382" s="3"/>
      <c r="B382" s="3"/>
      <c r="C382" s="8"/>
      <c r="D382" s="3"/>
      <c r="E382" s="3"/>
      <c r="F382" s="3"/>
      <c r="G382" s="3"/>
    </row>
    <row r="383" spans="1:7" ht="12.75">
      <c r="A383" s="3"/>
      <c r="B383" s="3"/>
      <c r="C383" s="8"/>
      <c r="D383" s="3"/>
      <c r="E383" s="3"/>
      <c r="F383" s="3"/>
      <c r="G383" s="3"/>
    </row>
    <row r="384" spans="1:7" ht="12.75">
      <c r="A384" s="3"/>
      <c r="B384" s="3"/>
      <c r="C384" s="8"/>
      <c r="D384" s="3"/>
      <c r="E384" s="3"/>
      <c r="F384" s="3"/>
      <c r="G384" s="3"/>
    </row>
    <row r="385" spans="1:7" ht="12.75">
      <c r="A385" s="3"/>
      <c r="B385" s="3"/>
      <c r="C385" s="8"/>
      <c r="D385" s="3"/>
      <c r="E385" s="3"/>
      <c r="F385" s="3"/>
      <c r="G385" s="3"/>
    </row>
    <row r="386" spans="1:7" ht="12.75">
      <c r="A386" s="3"/>
      <c r="B386" s="3"/>
      <c r="C386" s="8"/>
      <c r="D386" s="3"/>
      <c r="E386" s="3"/>
      <c r="F386" s="3"/>
      <c r="G386" s="3"/>
    </row>
    <row r="387" spans="1:7" ht="12.75">
      <c r="A387" s="3"/>
      <c r="B387" s="3"/>
      <c r="C387" s="8"/>
      <c r="D387" s="3"/>
      <c r="E387" s="3"/>
      <c r="F387" s="3"/>
      <c r="G387" s="3"/>
    </row>
    <row r="388" spans="1:7" ht="12.75">
      <c r="A388" s="3"/>
      <c r="B388" s="3"/>
      <c r="C388" s="8"/>
      <c r="D388" s="3"/>
      <c r="E388" s="3"/>
      <c r="F388" s="3"/>
      <c r="G388" s="3"/>
    </row>
    <row r="389" spans="1:7" ht="12.75">
      <c r="A389" s="3"/>
      <c r="B389" s="3"/>
      <c r="C389" s="8"/>
      <c r="D389" s="3"/>
      <c r="E389" s="3"/>
      <c r="F389" s="3"/>
      <c r="G389" s="3"/>
    </row>
    <row r="390" spans="1:7" ht="12.75">
      <c r="A390" s="3"/>
      <c r="B390" s="3"/>
      <c r="C390" s="8"/>
      <c r="D390" s="3"/>
      <c r="E390" s="3"/>
      <c r="F390" s="3"/>
      <c r="G390" s="3"/>
    </row>
    <row r="391" spans="1:7" ht="12.75">
      <c r="A391" s="3"/>
      <c r="B391" s="3"/>
      <c r="C391" s="8"/>
      <c r="D391" s="3"/>
      <c r="E391" s="3"/>
      <c r="F391" s="3"/>
      <c r="G391" s="3"/>
    </row>
    <row r="392" spans="1:7" ht="12.75">
      <c r="A392" s="3"/>
      <c r="B392" s="3"/>
      <c r="C392" s="8"/>
      <c r="D392" s="3"/>
      <c r="E392" s="3"/>
      <c r="F392" s="3"/>
      <c r="G392" s="3"/>
    </row>
    <row r="393" spans="1:7" ht="12.75">
      <c r="A393" s="3"/>
      <c r="B393" s="3"/>
      <c r="C393" s="8"/>
      <c r="D393" s="3"/>
      <c r="E393" s="3"/>
      <c r="F393" s="3"/>
      <c r="G393" s="3"/>
    </row>
    <row r="394" spans="1:7" ht="12.75">
      <c r="A394" s="3"/>
      <c r="B394" s="3"/>
      <c r="C394" s="8"/>
      <c r="D394" s="3"/>
      <c r="E394" s="3"/>
      <c r="F394" s="3"/>
      <c r="G394" s="3"/>
    </row>
    <row r="395" spans="1:7" ht="12.75">
      <c r="A395" s="3"/>
      <c r="B395" s="3"/>
      <c r="C395" s="8"/>
      <c r="D395" s="3"/>
      <c r="E395" s="3"/>
      <c r="F395" s="3"/>
      <c r="G395" s="3"/>
    </row>
    <row r="396" spans="1:7" ht="12.75">
      <c r="A396" s="3"/>
      <c r="B396" s="3"/>
      <c r="C396" s="8"/>
      <c r="D396" s="3"/>
      <c r="E396" s="3"/>
      <c r="F396" s="3"/>
      <c r="G396" s="3"/>
    </row>
    <row r="397" spans="1:7" ht="12.75">
      <c r="A397" s="3"/>
      <c r="B397" s="3"/>
      <c r="C397" s="8"/>
      <c r="D397" s="3"/>
      <c r="E397" s="3"/>
      <c r="F397" s="3"/>
      <c r="G397" s="3"/>
    </row>
    <row r="398" spans="1:7" ht="12.75">
      <c r="A398" s="3"/>
      <c r="B398" s="3"/>
      <c r="C398" s="8"/>
      <c r="D398" s="3"/>
      <c r="E398" s="3"/>
      <c r="F398" s="3"/>
      <c r="G398" s="3"/>
    </row>
    <row r="399" spans="1:7" ht="12.75">
      <c r="A399" s="3"/>
      <c r="B399" s="3"/>
      <c r="C399" s="8"/>
      <c r="D399" s="3"/>
      <c r="E399" s="3"/>
      <c r="F399" s="3"/>
      <c r="G399" s="3"/>
    </row>
    <row r="400" spans="1:7" ht="12.75">
      <c r="A400" s="3"/>
      <c r="B400" s="3"/>
      <c r="C400" s="8"/>
      <c r="D400" s="3"/>
      <c r="E400" s="3"/>
      <c r="F400" s="3"/>
      <c r="G400" s="3"/>
    </row>
    <row r="401" spans="1:7" ht="12.75">
      <c r="A401" s="3"/>
      <c r="B401" s="3"/>
      <c r="C401" s="8"/>
      <c r="D401" s="3"/>
      <c r="E401" s="3"/>
      <c r="F401" s="3"/>
      <c r="G401" s="3"/>
    </row>
    <row r="402" spans="1:7" ht="12.75">
      <c r="A402" s="3"/>
      <c r="B402" s="3"/>
      <c r="C402" s="8"/>
      <c r="D402" s="3"/>
      <c r="E402" s="3"/>
      <c r="F402" s="3"/>
      <c r="G402" s="3"/>
    </row>
    <row r="403" spans="1:7" ht="12.75">
      <c r="A403" s="3"/>
      <c r="B403" s="3"/>
      <c r="C403" s="8"/>
      <c r="D403" s="3"/>
      <c r="E403" s="3"/>
      <c r="F403" s="3"/>
      <c r="G403" s="3"/>
    </row>
    <row r="404" spans="1:7" ht="12.75">
      <c r="A404" s="3"/>
      <c r="B404" s="3"/>
      <c r="C404" s="8"/>
      <c r="D404" s="3"/>
      <c r="E404" s="3"/>
      <c r="F404" s="3"/>
      <c r="G404" s="3"/>
    </row>
    <row r="405" spans="1:7" ht="12.75">
      <c r="A405" s="3"/>
      <c r="B405" s="3"/>
      <c r="C405" s="8"/>
      <c r="D405" s="3"/>
      <c r="E405" s="3"/>
      <c r="F405" s="3"/>
      <c r="G405" s="3"/>
    </row>
    <row r="406" spans="1:7" ht="12.75">
      <c r="A406" s="3"/>
      <c r="B406" s="3"/>
      <c r="C406" s="8"/>
      <c r="D406" s="3"/>
      <c r="E406" s="3"/>
      <c r="F406" s="3"/>
      <c r="G406" s="3"/>
    </row>
    <row r="407" spans="1:7" ht="12.75">
      <c r="A407" s="3"/>
      <c r="B407" s="3"/>
      <c r="C407" s="8"/>
      <c r="D407" s="3"/>
      <c r="E407" s="3"/>
      <c r="F407" s="3"/>
      <c r="G407" s="3"/>
    </row>
    <row r="408" spans="1:7" ht="12.75">
      <c r="A408" s="3"/>
      <c r="B408" s="3"/>
      <c r="C408" s="8"/>
      <c r="D408" s="3"/>
      <c r="E408" s="3"/>
      <c r="F408" s="3"/>
      <c r="G408" s="3"/>
    </row>
    <row r="409" spans="1:7" ht="12.75">
      <c r="A409" s="3"/>
      <c r="B409" s="3"/>
      <c r="C409" s="8"/>
      <c r="D409" s="3"/>
      <c r="E409" s="3"/>
      <c r="F409" s="3"/>
      <c r="G409" s="3"/>
    </row>
    <row r="410" spans="1:7" ht="12.75">
      <c r="A410" s="3"/>
      <c r="B410" s="3"/>
      <c r="C410" s="8"/>
      <c r="D410" s="3"/>
      <c r="E410" s="3"/>
      <c r="F410" s="3"/>
      <c r="G410" s="3"/>
    </row>
    <row r="411" spans="1:7" ht="12.75">
      <c r="A411" s="3"/>
      <c r="B411" s="3"/>
      <c r="C411" s="8"/>
      <c r="D411" s="3"/>
      <c r="E411" s="3"/>
      <c r="F411" s="3"/>
      <c r="G411" s="3"/>
    </row>
    <row r="412" spans="1:7" ht="12.75">
      <c r="A412" s="3"/>
      <c r="B412" s="3"/>
      <c r="C412" s="8"/>
      <c r="D412" s="3"/>
      <c r="E412" s="3"/>
      <c r="F412" s="3"/>
      <c r="G412" s="3"/>
    </row>
    <row r="413" spans="1:7" ht="12.75">
      <c r="A413" s="3"/>
      <c r="B413" s="3"/>
      <c r="C413" s="8"/>
      <c r="D413" s="3"/>
      <c r="E413" s="3"/>
      <c r="F413" s="3"/>
      <c r="G413" s="3"/>
    </row>
    <row r="414" spans="1:7" ht="12.75">
      <c r="A414" s="3"/>
      <c r="B414" s="3"/>
      <c r="C414" s="8"/>
      <c r="D414" s="3"/>
      <c r="E414" s="3"/>
      <c r="F414" s="3"/>
      <c r="G414" s="3"/>
    </row>
    <row r="415" spans="1:7" ht="12.75">
      <c r="A415" s="3"/>
      <c r="B415" s="3"/>
      <c r="C415" s="8"/>
      <c r="D415" s="3"/>
      <c r="E415" s="3"/>
      <c r="F415" s="3"/>
      <c r="G415" s="3"/>
    </row>
    <row r="416" spans="1:7" ht="12.75">
      <c r="A416" s="3"/>
      <c r="B416" s="3"/>
      <c r="C416" s="8"/>
      <c r="D416" s="3"/>
      <c r="E416" s="3"/>
      <c r="F416" s="3"/>
      <c r="G416" s="3"/>
    </row>
    <row r="417" spans="1:7" ht="12.75">
      <c r="A417" s="3"/>
      <c r="B417" s="3"/>
      <c r="C417" s="8"/>
      <c r="D417" s="3"/>
      <c r="E417" s="3"/>
      <c r="F417" s="3"/>
      <c r="G417" s="3"/>
    </row>
    <row r="418" spans="1:7" ht="12.75">
      <c r="A418" s="3"/>
      <c r="B418" s="3"/>
      <c r="C418" s="8"/>
      <c r="D418" s="3"/>
      <c r="E418" s="3"/>
      <c r="F418" s="3"/>
      <c r="G418" s="3"/>
    </row>
    <row r="419" spans="1:7" ht="12.75">
      <c r="A419" s="3"/>
      <c r="B419" s="3"/>
      <c r="C419" s="8"/>
      <c r="D419" s="3"/>
      <c r="E419" s="3"/>
      <c r="F419" s="3"/>
      <c r="G419" s="3"/>
    </row>
    <row r="420" spans="1:7" ht="12.75">
      <c r="A420" s="3"/>
      <c r="B420" s="3"/>
      <c r="C420" s="8"/>
      <c r="D420" s="3"/>
      <c r="E420" s="3"/>
      <c r="F420" s="3"/>
      <c r="G420" s="3"/>
    </row>
    <row r="421" spans="1:7" ht="12.75">
      <c r="A421" s="3"/>
      <c r="B421" s="3"/>
      <c r="C421" s="8"/>
      <c r="D421" s="3"/>
      <c r="E421" s="3"/>
      <c r="F421" s="3"/>
      <c r="G421" s="3"/>
    </row>
    <row r="422" spans="1:7" ht="12.75">
      <c r="A422" s="3"/>
      <c r="B422" s="3"/>
      <c r="C422" s="8"/>
      <c r="D422" s="3"/>
      <c r="E422" s="3"/>
      <c r="F422" s="3"/>
      <c r="G422" s="3"/>
    </row>
    <row r="423" spans="1:7" ht="12.75">
      <c r="A423" s="3"/>
      <c r="B423" s="3"/>
      <c r="C423" s="8"/>
      <c r="D423" s="3"/>
      <c r="E423" s="3"/>
      <c r="F423" s="3"/>
      <c r="G423" s="3"/>
    </row>
    <row r="424" spans="1:7" ht="12.75">
      <c r="A424" s="3"/>
      <c r="B424" s="3"/>
      <c r="C424" s="8"/>
      <c r="D424" s="3"/>
      <c r="E424" s="3"/>
      <c r="F424" s="3"/>
      <c r="G424" s="3"/>
    </row>
    <row r="425" spans="1:7" ht="12.75">
      <c r="A425" s="3"/>
      <c r="B425" s="3"/>
      <c r="C425" s="8"/>
      <c r="D425" s="3"/>
      <c r="E425" s="3"/>
      <c r="F425" s="3"/>
      <c r="G425" s="3"/>
    </row>
    <row r="426" spans="1:7" ht="12.75">
      <c r="A426" s="3"/>
      <c r="B426" s="3"/>
      <c r="C426" s="8"/>
      <c r="D426" s="3"/>
      <c r="E426" s="3"/>
      <c r="F426" s="3"/>
      <c r="G426" s="3"/>
    </row>
    <row r="427" spans="1:7" ht="12.75">
      <c r="A427" s="3"/>
      <c r="B427" s="3"/>
      <c r="C427" s="8"/>
      <c r="D427" s="3"/>
      <c r="E427" s="3"/>
      <c r="F427" s="3"/>
      <c r="G427" s="3"/>
    </row>
    <row r="428" spans="1:7" ht="12.75">
      <c r="A428" s="3"/>
      <c r="B428" s="3"/>
      <c r="C428" s="8"/>
      <c r="D428" s="3"/>
      <c r="E428" s="3"/>
      <c r="F428" s="3"/>
      <c r="G428" s="3"/>
    </row>
    <row r="429" spans="1:7" ht="12.75">
      <c r="A429" s="3"/>
      <c r="B429" s="3"/>
      <c r="C429" s="8"/>
      <c r="D429" s="3"/>
      <c r="E429" s="3"/>
      <c r="F429" s="3"/>
      <c r="G429" s="3"/>
    </row>
    <row r="430" spans="1:7" ht="12.75">
      <c r="A430" s="3"/>
      <c r="B430" s="3"/>
      <c r="C430" s="8"/>
      <c r="D430" s="3"/>
      <c r="E430" s="3"/>
      <c r="F430" s="3"/>
      <c r="G430" s="3"/>
    </row>
    <row r="431" spans="1:7" ht="12.75">
      <c r="A431" s="3"/>
      <c r="B431" s="3"/>
      <c r="C431" s="8"/>
      <c r="D431" s="3"/>
      <c r="E431" s="3"/>
      <c r="F431" s="3"/>
      <c r="G431" s="3"/>
    </row>
    <row r="432" spans="1:7" ht="12.75">
      <c r="A432" s="3"/>
      <c r="B432" s="3"/>
      <c r="C432" s="8"/>
      <c r="D432" s="3"/>
      <c r="E432" s="3"/>
      <c r="F432" s="3"/>
      <c r="G432" s="3"/>
    </row>
    <row r="433" spans="1:7" ht="12.75">
      <c r="A433" s="3"/>
      <c r="B433" s="3"/>
      <c r="C433" s="8"/>
      <c r="D433" s="3"/>
      <c r="E433" s="3"/>
      <c r="F433" s="3"/>
      <c r="G433" s="3"/>
    </row>
    <row r="434" spans="1:7" ht="12.75">
      <c r="A434" s="3"/>
      <c r="B434" s="3"/>
      <c r="C434" s="8"/>
      <c r="D434" s="3"/>
      <c r="E434" s="3"/>
      <c r="F434" s="3"/>
      <c r="G434" s="3"/>
    </row>
    <row r="435" spans="1:7" ht="12.75">
      <c r="A435" s="3"/>
      <c r="B435" s="3"/>
      <c r="C435" s="8"/>
      <c r="D435" s="3"/>
      <c r="E435" s="3"/>
      <c r="F435" s="3"/>
      <c r="G435" s="3"/>
    </row>
    <row r="436" spans="1:7" ht="12.75">
      <c r="A436" s="3"/>
      <c r="B436" s="3"/>
      <c r="C436" s="8"/>
      <c r="D436" s="3"/>
      <c r="E436" s="3"/>
      <c r="F436" s="3"/>
      <c r="G436" s="3"/>
    </row>
    <row r="437" spans="1:7" ht="12.75">
      <c r="A437" s="3"/>
      <c r="B437" s="3"/>
      <c r="C437" s="8"/>
      <c r="D437" s="3"/>
      <c r="E437" s="3"/>
      <c r="F437" s="3"/>
      <c r="G437" s="3"/>
    </row>
    <row r="438" spans="1:7" ht="12.75">
      <c r="A438" s="3"/>
      <c r="B438" s="3"/>
      <c r="C438" s="8"/>
      <c r="D438" s="3"/>
      <c r="E438" s="3"/>
      <c r="F438" s="3"/>
      <c r="G438" s="3"/>
    </row>
    <row r="439" spans="1:7" ht="12.75">
      <c r="A439" s="3"/>
      <c r="B439" s="3"/>
      <c r="C439" s="8"/>
      <c r="D439" s="3"/>
      <c r="E439" s="3"/>
      <c r="F439" s="3"/>
      <c r="G439" s="3"/>
    </row>
    <row r="440" spans="1:7" ht="12.75">
      <c r="A440" s="3"/>
      <c r="B440" s="3"/>
      <c r="C440" s="8"/>
      <c r="D440" s="3"/>
      <c r="E440" s="3"/>
      <c r="F440" s="3"/>
      <c r="G440" s="3"/>
    </row>
    <row r="441" spans="1:7" ht="12.75">
      <c r="A441" s="3"/>
      <c r="B441" s="3"/>
      <c r="C441" s="8"/>
      <c r="D441" s="3"/>
      <c r="E441" s="3"/>
      <c r="F441" s="3"/>
      <c r="G441" s="3"/>
    </row>
    <row r="442" spans="1:7" ht="12.75">
      <c r="A442" s="3"/>
      <c r="B442" s="3"/>
      <c r="C442" s="8"/>
      <c r="D442" s="3"/>
      <c r="E442" s="3"/>
      <c r="F442" s="3"/>
      <c r="G442" s="3"/>
    </row>
    <row r="443" spans="1:7" ht="12.75">
      <c r="A443" s="3"/>
      <c r="B443" s="3"/>
      <c r="C443" s="8"/>
      <c r="D443" s="3"/>
      <c r="E443" s="3"/>
      <c r="F443" s="3"/>
      <c r="G443" s="3"/>
    </row>
    <row r="444" spans="1:7" ht="12.75">
      <c r="A444" s="3"/>
      <c r="B444" s="3"/>
      <c r="C444" s="8"/>
      <c r="D444" s="3"/>
      <c r="E444" s="3"/>
      <c r="F444" s="3"/>
      <c r="G444" s="3"/>
    </row>
    <row r="445" spans="1:7" ht="12.75">
      <c r="A445" s="3"/>
      <c r="B445" s="3"/>
      <c r="C445" s="8"/>
      <c r="D445" s="3"/>
      <c r="E445" s="3"/>
      <c r="F445" s="3"/>
      <c r="G445" s="3"/>
    </row>
    <row r="446" spans="1:7" ht="12.75">
      <c r="A446" s="3"/>
      <c r="B446" s="3"/>
      <c r="C446" s="8"/>
      <c r="D446" s="3"/>
      <c r="E446" s="3"/>
      <c r="F446" s="3"/>
      <c r="G446" s="3"/>
    </row>
    <row r="447" spans="1:7" ht="12.75">
      <c r="A447" s="3"/>
      <c r="B447" s="3"/>
      <c r="C447" s="8"/>
      <c r="D447" s="3"/>
      <c r="E447" s="3"/>
      <c r="F447" s="3"/>
      <c r="G447" s="3"/>
    </row>
    <row r="448" spans="1:7" ht="12.75">
      <c r="A448" s="3"/>
      <c r="B448" s="3"/>
      <c r="C448" s="8"/>
      <c r="D448" s="3"/>
      <c r="E448" s="3"/>
      <c r="F448" s="3"/>
      <c r="G448" s="3"/>
    </row>
    <row r="449" spans="1:7" ht="12.75">
      <c r="A449" s="3"/>
      <c r="B449" s="3"/>
      <c r="C449" s="8"/>
      <c r="D449" s="3"/>
      <c r="E449" s="3"/>
      <c r="F449" s="3"/>
      <c r="G449" s="3"/>
    </row>
    <row r="450" spans="1:7" ht="12.75">
      <c r="A450" s="3"/>
      <c r="B450" s="3"/>
      <c r="C450" s="8"/>
      <c r="D450" s="3"/>
      <c r="E450" s="3"/>
      <c r="F450" s="3"/>
      <c r="G450" s="3"/>
    </row>
    <row r="451" spans="1:7" ht="12.75">
      <c r="A451" s="3"/>
      <c r="B451" s="3"/>
      <c r="C451" s="8"/>
      <c r="D451" s="3"/>
      <c r="E451" s="3"/>
      <c r="F451" s="3"/>
      <c r="G451" s="3"/>
    </row>
    <row r="452" spans="1:7" ht="12.75">
      <c r="A452" s="3"/>
      <c r="B452" s="3"/>
      <c r="C452" s="8"/>
      <c r="D452" s="3"/>
      <c r="E452" s="3"/>
      <c r="F452" s="3"/>
      <c r="G452" s="3"/>
    </row>
    <row r="453" spans="1:7" ht="12.75">
      <c r="A453" s="3"/>
      <c r="B453" s="3"/>
      <c r="C453" s="8"/>
      <c r="D453" s="3"/>
      <c r="E453" s="3"/>
      <c r="F453" s="3"/>
      <c r="G453" s="3"/>
    </row>
    <row r="454" spans="1:7" ht="12.75">
      <c r="A454" s="3"/>
      <c r="B454" s="3"/>
      <c r="C454" s="8"/>
      <c r="D454" s="3"/>
      <c r="E454" s="3"/>
      <c r="F454" s="3"/>
      <c r="G454" s="3"/>
    </row>
    <row r="455" spans="1:7" ht="12.75">
      <c r="A455" s="3"/>
      <c r="B455" s="3"/>
      <c r="C455" s="8"/>
      <c r="D455" s="3"/>
      <c r="E455" s="3"/>
      <c r="F455" s="3"/>
      <c r="G455" s="3"/>
    </row>
    <row r="456" spans="1:7" ht="12.75">
      <c r="A456" s="3"/>
      <c r="B456" s="3"/>
      <c r="C456" s="8"/>
      <c r="D456" s="3"/>
      <c r="E456" s="3"/>
      <c r="F456" s="3"/>
      <c r="G456" s="3"/>
    </row>
    <row r="457" spans="1:7" ht="12.75">
      <c r="A457" s="3"/>
      <c r="B457" s="3"/>
      <c r="C457" s="8"/>
      <c r="D457" s="3"/>
      <c r="E457" s="3"/>
      <c r="F457" s="3"/>
      <c r="G457" s="3"/>
    </row>
    <row r="458" spans="1:7" ht="12.75">
      <c r="A458" s="3"/>
      <c r="B458" s="3"/>
      <c r="C458" s="8"/>
      <c r="D458" s="3"/>
      <c r="E458" s="3"/>
      <c r="F458" s="3"/>
      <c r="G458" s="3"/>
    </row>
    <row r="459" spans="1:7" ht="12.75">
      <c r="A459" s="3"/>
      <c r="B459" s="3"/>
      <c r="C459" s="8"/>
      <c r="D459" s="3"/>
      <c r="E459" s="3"/>
      <c r="F459" s="3"/>
      <c r="G459" s="3"/>
    </row>
    <row r="460" spans="1:7" ht="12.75">
      <c r="A460" s="3"/>
      <c r="B460" s="3"/>
      <c r="C460" s="8"/>
      <c r="D460" s="3"/>
      <c r="E460" s="3"/>
      <c r="F460" s="3"/>
      <c r="G460" s="3"/>
    </row>
    <row r="461" spans="1:7" ht="12.75">
      <c r="A461" s="3"/>
      <c r="B461" s="3"/>
      <c r="C461" s="8"/>
      <c r="D461" s="3"/>
      <c r="E461" s="3"/>
      <c r="F461" s="3"/>
      <c r="G461" s="3"/>
    </row>
    <row r="462" spans="1:7" ht="12.75">
      <c r="A462" s="3"/>
      <c r="B462" s="3"/>
      <c r="C462" s="8"/>
      <c r="D462" s="3"/>
      <c r="E462" s="3"/>
      <c r="F462" s="3"/>
      <c r="G462" s="3"/>
    </row>
    <row r="463" spans="1:7" ht="12.75">
      <c r="A463" s="3"/>
      <c r="B463" s="3"/>
      <c r="C463" s="8"/>
      <c r="D463" s="3"/>
      <c r="E463" s="3"/>
      <c r="F463" s="3"/>
      <c r="G463" s="3"/>
    </row>
    <row r="464" spans="1:7" ht="12.75">
      <c r="A464" s="3"/>
      <c r="B464" s="3"/>
      <c r="C464" s="8"/>
      <c r="D464" s="3"/>
      <c r="E464" s="3"/>
      <c r="F464" s="3"/>
      <c r="G464" s="3"/>
    </row>
    <row r="465" spans="1:7" ht="12.75">
      <c r="A465" s="3"/>
      <c r="B465" s="3"/>
      <c r="C465" s="8"/>
      <c r="D465" s="3"/>
      <c r="E465" s="3"/>
      <c r="F465" s="3"/>
      <c r="G465" s="3"/>
    </row>
    <row r="466" spans="1:7" ht="12.75">
      <c r="A466" s="3"/>
      <c r="B466" s="3"/>
      <c r="C466" s="8"/>
      <c r="D466" s="3"/>
      <c r="E466" s="3"/>
      <c r="F466" s="3"/>
      <c r="G466" s="3"/>
    </row>
    <row r="467" spans="1:7" ht="12.75">
      <c r="A467" s="3"/>
      <c r="B467" s="3"/>
      <c r="C467" s="8"/>
      <c r="D467" s="3"/>
      <c r="E467" s="3"/>
      <c r="F467" s="3"/>
      <c r="G467" s="3"/>
    </row>
    <row r="468" spans="1:7" ht="12.75">
      <c r="A468" s="3"/>
      <c r="B468" s="3"/>
      <c r="C468" s="8"/>
      <c r="D468" s="3"/>
      <c r="E468" s="3"/>
      <c r="F468" s="3"/>
      <c r="G468" s="3"/>
    </row>
    <row r="469" spans="1:7" ht="12.75">
      <c r="A469" s="3"/>
      <c r="B469" s="3"/>
      <c r="C469" s="8"/>
      <c r="D469" s="3"/>
      <c r="E469" s="3"/>
      <c r="F469" s="3"/>
      <c r="G469" s="3"/>
    </row>
    <row r="470" spans="1:7" ht="12.75">
      <c r="A470" s="3"/>
      <c r="B470" s="3"/>
      <c r="C470" s="8"/>
      <c r="D470" s="3"/>
      <c r="E470" s="3"/>
      <c r="F470" s="3"/>
      <c r="G470" s="3"/>
    </row>
    <row r="471" spans="1:7" ht="12.75">
      <c r="A471" s="3"/>
      <c r="B471" s="3"/>
      <c r="C471" s="8"/>
      <c r="D471" s="3"/>
      <c r="E471" s="3"/>
      <c r="F471" s="3"/>
      <c r="G471" s="3"/>
    </row>
    <row r="472" spans="1:7" ht="12.75">
      <c r="A472" s="3"/>
      <c r="B472" s="3"/>
      <c r="C472" s="8"/>
      <c r="D472" s="3"/>
      <c r="E472" s="3"/>
      <c r="F472" s="3"/>
      <c r="G472" s="3"/>
    </row>
    <row r="473" spans="1:7" ht="12.75">
      <c r="A473" s="3"/>
      <c r="B473" s="3"/>
      <c r="C473" s="8"/>
      <c r="D473" s="3"/>
      <c r="E473" s="3"/>
      <c r="F473" s="3"/>
      <c r="G473" s="3"/>
    </row>
    <row r="474" spans="1:7" ht="12.75">
      <c r="A474" s="3"/>
      <c r="B474" s="3"/>
      <c r="C474" s="8"/>
      <c r="D474" s="3"/>
      <c r="E474" s="3"/>
      <c r="F474" s="3"/>
      <c r="G474" s="3"/>
    </row>
    <row r="475" spans="1:7" ht="12.75">
      <c r="A475" s="3"/>
      <c r="B475" s="3"/>
      <c r="C475" s="8"/>
      <c r="D475" s="3"/>
      <c r="E475" s="3"/>
      <c r="F475" s="3"/>
      <c r="G475" s="3"/>
    </row>
    <row r="476" spans="1:7" ht="12.75">
      <c r="A476" s="3"/>
      <c r="B476" s="3"/>
      <c r="C476" s="8"/>
      <c r="D476" s="3"/>
      <c r="E476" s="3"/>
      <c r="F476" s="3"/>
      <c r="G476" s="3"/>
    </row>
    <row r="477" spans="1:7" ht="12.75">
      <c r="A477" s="3"/>
      <c r="B477" s="3"/>
      <c r="C477" s="8"/>
      <c r="D477" s="3"/>
      <c r="E477" s="3"/>
      <c r="F477" s="3"/>
      <c r="G477" s="3"/>
    </row>
    <row r="478" spans="1:7" ht="12.75">
      <c r="A478" s="3"/>
      <c r="B478" s="3"/>
      <c r="C478" s="8"/>
      <c r="D478" s="3"/>
      <c r="E478" s="3"/>
      <c r="F478" s="3"/>
      <c r="G478" s="3"/>
    </row>
    <row r="479" spans="1:7" ht="12.75">
      <c r="A479" s="3"/>
      <c r="B479" s="3"/>
      <c r="C479" s="8"/>
      <c r="D479" s="3"/>
      <c r="E479" s="3"/>
      <c r="F479" s="3"/>
      <c r="G479" s="3"/>
    </row>
    <row r="480" spans="1:7" ht="12.75">
      <c r="A480" s="3"/>
      <c r="B480" s="3"/>
      <c r="C480" s="8"/>
      <c r="D480" s="3"/>
      <c r="E480" s="3"/>
      <c r="F480" s="3"/>
      <c r="G480" s="3"/>
    </row>
    <row r="481" spans="1:7" ht="12.75">
      <c r="A481" s="3"/>
      <c r="B481" s="3"/>
      <c r="C481" s="8"/>
      <c r="D481" s="3"/>
      <c r="E481" s="3"/>
      <c r="F481" s="3"/>
      <c r="G481" s="3"/>
    </row>
    <row r="482" spans="1:7" ht="12.75">
      <c r="A482" s="3"/>
      <c r="B482" s="3"/>
      <c r="C482" s="8"/>
      <c r="D482" s="3"/>
      <c r="E482" s="3"/>
      <c r="F482" s="3"/>
      <c r="G482" s="3"/>
    </row>
    <row r="483" spans="1:7" ht="12.75">
      <c r="A483" s="3"/>
      <c r="B483" s="3"/>
      <c r="C483" s="8"/>
      <c r="D483" s="3"/>
      <c r="E483" s="3"/>
      <c r="F483" s="3"/>
      <c r="G483" s="3"/>
    </row>
    <row r="484" spans="1:7" ht="12.75">
      <c r="A484" s="3"/>
      <c r="B484" s="3"/>
      <c r="C484" s="8"/>
      <c r="D484" s="3"/>
      <c r="E484" s="3"/>
      <c r="F484" s="3"/>
      <c r="G484" s="3"/>
    </row>
    <row r="485" spans="1:7" ht="12.75">
      <c r="A485" s="3"/>
      <c r="B485" s="3"/>
      <c r="C485" s="8"/>
      <c r="D485" s="3"/>
      <c r="E485" s="3"/>
      <c r="F485" s="3"/>
      <c r="G485" s="3"/>
    </row>
    <row r="486" spans="1:7" ht="12.75">
      <c r="A486" s="3"/>
      <c r="B486" s="3"/>
      <c r="C486" s="8"/>
      <c r="D486" s="3"/>
      <c r="E486" s="3"/>
      <c r="F486" s="3"/>
      <c r="G486" s="3"/>
    </row>
    <row r="487" spans="1:7" ht="12.75">
      <c r="A487" s="3"/>
      <c r="B487" s="3"/>
      <c r="C487" s="8"/>
      <c r="D487" s="3"/>
      <c r="E487" s="3"/>
      <c r="F487" s="3"/>
      <c r="G487" s="3"/>
    </row>
    <row r="488" spans="1:7" ht="12.75">
      <c r="A488" s="3"/>
      <c r="B488" s="3"/>
      <c r="C488" s="8"/>
      <c r="D488" s="3"/>
      <c r="E488" s="3"/>
      <c r="F488" s="3"/>
      <c r="G488" s="3"/>
    </row>
    <row r="489" spans="1:7" ht="12.75">
      <c r="A489" s="3"/>
      <c r="B489" s="3"/>
      <c r="C489" s="8"/>
      <c r="D489" s="3"/>
      <c r="E489" s="3"/>
      <c r="F489" s="3"/>
      <c r="G489" s="3"/>
    </row>
    <row r="490" spans="1:7" ht="12.75">
      <c r="A490" s="3"/>
      <c r="B490" s="3"/>
      <c r="C490" s="8"/>
      <c r="D490" s="3"/>
      <c r="E490" s="3"/>
      <c r="F490" s="3"/>
      <c r="G490" s="3"/>
    </row>
    <row r="491" spans="1:7" ht="12.75">
      <c r="A491" s="3"/>
      <c r="B491" s="3"/>
      <c r="C491" s="8"/>
      <c r="D491" s="3"/>
      <c r="E491" s="3"/>
      <c r="F491" s="3"/>
      <c r="G491" s="3"/>
    </row>
    <row r="492" spans="1:7" ht="12.75">
      <c r="A492" s="3"/>
      <c r="B492" s="3"/>
      <c r="C492" s="8"/>
      <c r="D492" s="3"/>
      <c r="E492" s="3"/>
      <c r="F492" s="3"/>
      <c r="G492" s="3"/>
    </row>
    <row r="493" spans="1:7" ht="12.75">
      <c r="A493" s="3"/>
      <c r="B493" s="3"/>
      <c r="C493" s="8"/>
      <c r="D493" s="3"/>
      <c r="E493" s="3"/>
      <c r="F493" s="3"/>
      <c r="G493" s="3"/>
    </row>
    <row r="494" spans="1:7" ht="12.75">
      <c r="A494" s="3"/>
      <c r="B494" s="3"/>
      <c r="C494" s="8"/>
      <c r="D494" s="3"/>
      <c r="E494" s="3"/>
      <c r="F494" s="3"/>
      <c r="G494" s="3"/>
    </row>
    <row r="495" spans="1:7" ht="12.75">
      <c r="A495" s="3"/>
      <c r="B495" s="3"/>
      <c r="C495" s="8"/>
      <c r="D495" s="3"/>
      <c r="E495" s="3"/>
      <c r="F495" s="3"/>
      <c r="G495" s="3"/>
    </row>
    <row r="496" spans="1:7" ht="12.75">
      <c r="A496" s="3"/>
      <c r="B496" s="3"/>
      <c r="C496" s="8"/>
      <c r="D496" s="3"/>
      <c r="E496" s="3"/>
      <c r="F496" s="3"/>
      <c r="G496" s="3"/>
    </row>
    <row r="497" spans="1:7" ht="12.75">
      <c r="A497" s="3"/>
      <c r="B497" s="3"/>
      <c r="C497" s="8"/>
      <c r="D497" s="3"/>
      <c r="E497" s="3"/>
      <c r="F497" s="3"/>
      <c r="G497" s="3"/>
    </row>
    <row r="498" spans="1:7" ht="12.75">
      <c r="A498" s="3"/>
      <c r="B498" s="3"/>
      <c r="C498" s="8"/>
      <c r="D498" s="3"/>
      <c r="E498" s="3"/>
      <c r="F498" s="3"/>
      <c r="G498" s="3"/>
    </row>
    <row r="499" spans="1:7" ht="12.75">
      <c r="A499" s="3"/>
      <c r="B499" s="3"/>
      <c r="C499" s="8"/>
      <c r="D499" s="3"/>
      <c r="E499" s="3"/>
      <c r="F499" s="3"/>
      <c r="G499" s="3"/>
    </row>
    <row r="500" spans="1:7" ht="12.75">
      <c r="A500" s="3"/>
      <c r="B500" s="3"/>
      <c r="C500" s="8"/>
      <c r="D500" s="3"/>
      <c r="E500" s="3"/>
      <c r="F500" s="3"/>
      <c r="G500" s="3"/>
    </row>
    <row r="501" spans="1:7" ht="12.75">
      <c r="A501" s="3"/>
      <c r="B501" s="3"/>
      <c r="C501" s="8"/>
      <c r="D501" s="3"/>
      <c r="E501" s="3"/>
      <c r="F501" s="3"/>
      <c r="G501" s="3"/>
    </row>
    <row r="502" spans="1:7" ht="12.75">
      <c r="A502" s="3"/>
      <c r="B502" s="3"/>
      <c r="C502" s="8"/>
      <c r="D502" s="3"/>
      <c r="E502" s="3"/>
      <c r="F502" s="3"/>
      <c r="G502" s="3"/>
    </row>
    <row r="503" spans="1:7" ht="12.75">
      <c r="A503" s="3"/>
      <c r="B503" s="3"/>
      <c r="C503" s="8"/>
      <c r="D503" s="3"/>
      <c r="E503" s="3"/>
      <c r="F503" s="3"/>
      <c r="G503" s="3"/>
    </row>
    <row r="504" spans="1:7" ht="12.75">
      <c r="A504" s="3"/>
      <c r="B504" s="3"/>
      <c r="C504" s="8"/>
      <c r="D504" s="3"/>
      <c r="E504" s="3"/>
      <c r="F504" s="3"/>
      <c r="G504" s="3"/>
    </row>
    <row r="505" spans="1:7" ht="12.75">
      <c r="A505" s="3"/>
      <c r="B505" s="3"/>
      <c r="C505" s="8"/>
      <c r="D505" s="3"/>
      <c r="E505" s="3"/>
      <c r="F505" s="3"/>
      <c r="G505" s="3"/>
    </row>
    <row r="506" spans="1:7" ht="12.75">
      <c r="A506" s="3"/>
      <c r="B506" s="3"/>
      <c r="C506" s="8"/>
      <c r="D506" s="3"/>
      <c r="E506" s="3"/>
      <c r="F506" s="3"/>
      <c r="G506" s="3"/>
    </row>
    <row r="507" spans="1:7" ht="12.75">
      <c r="A507" s="3"/>
      <c r="B507" s="3"/>
      <c r="C507" s="8"/>
      <c r="D507" s="3"/>
      <c r="E507" s="3"/>
      <c r="F507" s="3"/>
      <c r="G507" s="3"/>
    </row>
    <row r="508" spans="1:7" ht="12.75">
      <c r="A508" s="3"/>
      <c r="B508" s="3"/>
      <c r="C508" s="8"/>
      <c r="D508" s="3"/>
      <c r="E508" s="3"/>
      <c r="F508" s="3"/>
      <c r="G508" s="3"/>
    </row>
    <row r="509" spans="1:7" ht="12.75">
      <c r="A509" s="3"/>
      <c r="B509" s="3"/>
      <c r="C509" s="8"/>
      <c r="D509" s="3"/>
      <c r="E509" s="3"/>
      <c r="F509" s="3"/>
      <c r="G509" s="3"/>
    </row>
    <row r="510" spans="1:7" ht="12.75">
      <c r="A510" s="3"/>
      <c r="B510" s="3"/>
      <c r="C510" s="8"/>
      <c r="D510" s="3"/>
      <c r="E510" s="3"/>
      <c r="F510" s="3"/>
      <c r="G510" s="3"/>
    </row>
    <row r="511" spans="1:7" ht="12.75">
      <c r="A511" s="3"/>
      <c r="B511" s="3"/>
      <c r="C511" s="8"/>
      <c r="D511" s="3"/>
      <c r="E511" s="3"/>
      <c r="F511" s="3"/>
      <c r="G511" s="3"/>
    </row>
    <row r="512" spans="1:7" ht="12.75">
      <c r="A512" s="3"/>
      <c r="B512" s="3"/>
      <c r="C512" s="8"/>
      <c r="D512" s="3"/>
      <c r="E512" s="3"/>
      <c r="F512" s="3"/>
      <c r="G512" s="3"/>
    </row>
    <row r="513" spans="1:7" ht="12.75">
      <c r="A513" s="3"/>
      <c r="B513" s="3"/>
      <c r="C513" s="8"/>
      <c r="D513" s="3"/>
      <c r="E513" s="3"/>
      <c r="F513" s="3"/>
      <c r="G513" s="3"/>
    </row>
    <row r="514" spans="1:7" ht="12.75">
      <c r="A514" s="3"/>
      <c r="B514" s="3"/>
      <c r="C514" s="8"/>
      <c r="D514" s="3"/>
      <c r="E514" s="3"/>
      <c r="F514" s="3"/>
      <c r="G514" s="3"/>
    </row>
    <row r="515" spans="1:7" ht="12.75">
      <c r="A515" s="3"/>
      <c r="B515" s="3"/>
      <c r="C515" s="8"/>
      <c r="D515" s="3"/>
      <c r="E515" s="3"/>
      <c r="F515" s="3"/>
      <c r="G515" s="3"/>
    </row>
    <row r="516" spans="1:7" ht="12.75">
      <c r="A516" s="3"/>
      <c r="B516" s="3"/>
      <c r="C516" s="8"/>
      <c r="D516" s="3"/>
      <c r="E516" s="3"/>
      <c r="F516" s="3"/>
      <c r="G516" s="3"/>
    </row>
    <row r="517" spans="1:7" ht="12.75">
      <c r="A517" s="3"/>
      <c r="B517" s="3"/>
      <c r="C517" s="8"/>
      <c r="D517" s="3"/>
      <c r="E517" s="3"/>
      <c r="F517" s="3"/>
      <c r="G517" s="3"/>
    </row>
    <row r="518" spans="1:7" ht="12.75">
      <c r="A518" s="3"/>
      <c r="B518" s="3"/>
      <c r="C518" s="8"/>
      <c r="D518" s="3"/>
      <c r="E518" s="3"/>
      <c r="F518" s="3"/>
      <c r="G518" s="3"/>
    </row>
    <row r="519" spans="1:7" ht="12.75">
      <c r="A519" s="3"/>
      <c r="B519" s="3"/>
      <c r="C519" s="8"/>
      <c r="D519" s="3"/>
      <c r="E519" s="3"/>
      <c r="F519" s="3"/>
      <c r="G519" s="3"/>
    </row>
    <row r="520" spans="1:7" ht="12.75">
      <c r="A520" s="3"/>
      <c r="B520" s="3"/>
      <c r="C520" s="8"/>
      <c r="D520" s="3"/>
      <c r="E520" s="3"/>
      <c r="F520" s="3"/>
      <c r="G520" s="3"/>
    </row>
    <row r="521" spans="1:7" ht="12.75">
      <c r="A521" s="3"/>
      <c r="B521" s="3"/>
      <c r="C521" s="8"/>
      <c r="D521" s="3"/>
      <c r="E521" s="3"/>
      <c r="F521" s="3"/>
      <c r="G521" s="3"/>
    </row>
    <row r="522" spans="1:7" ht="12.75">
      <c r="A522" s="3"/>
      <c r="B522" s="3"/>
      <c r="C522" s="8"/>
      <c r="D522" s="3"/>
      <c r="E522" s="3"/>
      <c r="F522" s="3"/>
      <c r="G522" s="3"/>
    </row>
    <row r="523" spans="1:7" ht="12.75">
      <c r="A523" s="3"/>
      <c r="B523" s="3"/>
      <c r="C523" s="8"/>
      <c r="D523" s="3"/>
      <c r="E523" s="3"/>
      <c r="F523" s="3"/>
      <c r="G523" s="3"/>
    </row>
    <row r="524" spans="1:7" ht="12.75">
      <c r="A524" s="3"/>
      <c r="B524" s="3"/>
      <c r="C524" s="8"/>
      <c r="D524" s="3"/>
      <c r="E524" s="3"/>
      <c r="F524" s="3"/>
      <c r="G524" s="3"/>
    </row>
    <row r="525" spans="1:7" ht="12.75">
      <c r="A525" s="3"/>
      <c r="B525" s="3"/>
      <c r="C525" s="8"/>
      <c r="D525" s="3"/>
      <c r="E525" s="3"/>
      <c r="F525" s="3"/>
      <c r="G525" s="3"/>
    </row>
    <row r="526" spans="1:7" ht="12.75">
      <c r="A526" s="3"/>
      <c r="B526" s="3"/>
      <c r="C526" s="8"/>
      <c r="D526" s="3"/>
      <c r="E526" s="3"/>
      <c r="F526" s="3"/>
      <c r="G526" s="3"/>
    </row>
    <row r="527" spans="1:7" ht="12.75">
      <c r="A527" s="3"/>
      <c r="B527" s="3"/>
      <c r="C527" s="8"/>
      <c r="D527" s="3"/>
      <c r="E527" s="3"/>
      <c r="F527" s="3"/>
      <c r="G527" s="3"/>
    </row>
    <row r="528" spans="1:7" ht="12.75">
      <c r="A528" s="3"/>
      <c r="B528" s="3"/>
      <c r="C528" s="8"/>
      <c r="D528" s="3"/>
      <c r="E528" s="3"/>
      <c r="F528" s="3"/>
      <c r="G528" s="3"/>
    </row>
    <row r="529" spans="1:7" ht="12.75">
      <c r="A529" s="3"/>
      <c r="B529" s="3"/>
      <c r="C529" s="8"/>
      <c r="D529" s="3"/>
      <c r="E529" s="3"/>
      <c r="F529" s="3"/>
      <c r="G529" s="3"/>
    </row>
    <row r="530" spans="1:7" ht="12.75">
      <c r="A530" s="3"/>
      <c r="B530" s="3"/>
      <c r="C530" s="8"/>
      <c r="D530" s="3"/>
      <c r="E530" s="3"/>
      <c r="F530" s="3"/>
      <c r="G530" s="3"/>
    </row>
    <row r="531" spans="1:7" ht="12.75">
      <c r="A531" s="3"/>
      <c r="B531" s="3"/>
      <c r="C531" s="8"/>
      <c r="D531" s="3"/>
      <c r="E531" s="3"/>
      <c r="F531" s="3"/>
      <c r="G531" s="3"/>
    </row>
    <row r="532" spans="1:7" ht="12.75">
      <c r="A532" s="3"/>
      <c r="B532" s="3"/>
      <c r="C532" s="8"/>
      <c r="D532" s="3"/>
      <c r="E532" s="3"/>
      <c r="F532" s="3"/>
      <c r="G532" s="3"/>
    </row>
    <row r="533" spans="1:7" ht="12.75">
      <c r="A533" s="3"/>
      <c r="B533" s="3"/>
      <c r="C533" s="8"/>
      <c r="D533" s="3"/>
      <c r="E533" s="3"/>
      <c r="F533" s="3"/>
      <c r="G533" s="3"/>
    </row>
    <row r="534" spans="1:7" ht="12.75">
      <c r="A534" s="3"/>
      <c r="B534" s="3"/>
      <c r="C534" s="8"/>
      <c r="D534" s="3"/>
      <c r="E534" s="3"/>
      <c r="F534" s="3"/>
      <c r="G534" s="3"/>
    </row>
    <row r="535" spans="1:7" ht="12.75">
      <c r="A535" s="3"/>
      <c r="B535" s="3"/>
      <c r="C535" s="8"/>
      <c r="D535" s="3"/>
      <c r="E535" s="3"/>
      <c r="F535" s="3"/>
      <c r="G535" s="3"/>
    </row>
    <row r="536" spans="1:7" ht="12.75">
      <c r="A536" s="3"/>
      <c r="B536" s="3"/>
      <c r="C536" s="8"/>
      <c r="D536" s="3"/>
      <c r="E536" s="3"/>
      <c r="F536" s="3"/>
      <c r="G536" s="3"/>
    </row>
    <row r="537" spans="1:7" ht="12.75">
      <c r="A537" s="3"/>
      <c r="B537" s="3"/>
      <c r="C537" s="8"/>
      <c r="D537" s="3"/>
      <c r="E537" s="3"/>
      <c r="F537" s="3"/>
      <c r="G537" s="3"/>
    </row>
    <row r="538" spans="1:7" ht="12.75">
      <c r="A538" s="3"/>
      <c r="B538" s="3"/>
      <c r="C538" s="8"/>
      <c r="D538" s="3"/>
      <c r="E538" s="3"/>
      <c r="F538" s="3"/>
      <c r="G538" s="3"/>
    </row>
    <row r="539" spans="1:7" ht="12.75">
      <c r="A539" s="3"/>
      <c r="B539" s="3"/>
      <c r="C539" s="8"/>
      <c r="D539" s="3"/>
      <c r="E539" s="3"/>
      <c r="F539" s="3"/>
      <c r="G539" s="3"/>
    </row>
    <row r="540" spans="1:7" ht="12.75">
      <c r="A540" s="3"/>
      <c r="B540" s="3"/>
      <c r="C540" s="8"/>
      <c r="D540" s="3"/>
      <c r="E540" s="3"/>
      <c r="F540" s="3"/>
      <c r="G540" s="3"/>
    </row>
    <row r="541" spans="1:7" ht="12.75">
      <c r="A541" s="3"/>
      <c r="B541" s="3"/>
      <c r="C541" s="8"/>
      <c r="D541" s="3"/>
      <c r="E541" s="3"/>
      <c r="F541" s="3"/>
      <c r="G541" s="3"/>
    </row>
    <row r="542" spans="1:7" ht="12.75">
      <c r="A542" s="3"/>
      <c r="B542" s="3"/>
      <c r="C542" s="8"/>
      <c r="D542" s="3"/>
      <c r="E542" s="3"/>
      <c r="F542" s="3"/>
      <c r="G542" s="3"/>
    </row>
    <row r="543" spans="1:7" ht="12.75">
      <c r="A543" s="3"/>
      <c r="B543" s="3"/>
      <c r="C543" s="8"/>
      <c r="D543" s="3"/>
      <c r="E543" s="3"/>
      <c r="F543" s="3"/>
      <c r="G543" s="3"/>
    </row>
    <row r="544" spans="1:7" ht="12.75">
      <c r="A544" s="3"/>
      <c r="B544" s="3"/>
      <c r="C544" s="8"/>
      <c r="D544" s="3"/>
      <c r="E544" s="3"/>
      <c r="F544" s="3"/>
      <c r="G544" s="3"/>
    </row>
    <row r="545" spans="1:7" ht="12.75">
      <c r="A545" s="3"/>
      <c r="B545" s="3"/>
      <c r="C545" s="8"/>
      <c r="D545" s="3"/>
      <c r="E545" s="3"/>
      <c r="F545" s="3"/>
      <c r="G545" s="3"/>
    </row>
    <row r="546" spans="1:7" ht="12.75">
      <c r="A546" s="3"/>
      <c r="B546" s="3"/>
      <c r="C546" s="8"/>
      <c r="D546" s="3"/>
      <c r="E546" s="3"/>
      <c r="F546" s="3"/>
      <c r="G546" s="3"/>
    </row>
    <row r="547" spans="1:7" ht="12.75">
      <c r="A547" s="3"/>
      <c r="B547" s="3"/>
      <c r="C547" s="8"/>
      <c r="D547" s="3"/>
      <c r="E547" s="3"/>
      <c r="F547" s="3"/>
      <c r="G547" s="3"/>
    </row>
    <row r="548" spans="1:7" ht="12.75">
      <c r="A548" s="3"/>
      <c r="B548" s="3"/>
      <c r="C548" s="8"/>
      <c r="D548" s="3"/>
      <c r="E548" s="3"/>
      <c r="F548" s="3"/>
      <c r="G548" s="3"/>
    </row>
    <row r="549" spans="1:7" ht="12.75">
      <c r="A549" s="3"/>
      <c r="B549" s="3"/>
      <c r="C549" s="8"/>
      <c r="D549" s="3"/>
      <c r="E549" s="3"/>
      <c r="F549" s="3"/>
      <c r="G549" s="3"/>
    </row>
    <row r="550" spans="1:7" ht="12.75">
      <c r="A550" s="3"/>
      <c r="B550" s="3"/>
      <c r="C550" s="8"/>
      <c r="D550" s="3"/>
      <c r="E550" s="3"/>
      <c r="F550" s="3"/>
      <c r="G550" s="3"/>
    </row>
    <row r="551" spans="1:7" ht="12.75">
      <c r="A551" s="3"/>
      <c r="B551" s="3"/>
      <c r="C551" s="8"/>
      <c r="D551" s="3"/>
      <c r="E551" s="3"/>
      <c r="F551" s="3"/>
      <c r="G551" s="3"/>
    </row>
    <row r="552" spans="1:7" ht="12.75">
      <c r="A552" s="3"/>
      <c r="B552" s="3"/>
      <c r="C552" s="8"/>
      <c r="D552" s="3"/>
      <c r="E552" s="3"/>
      <c r="F552" s="3"/>
      <c r="G552" s="3"/>
    </row>
    <row r="553" spans="1:7" ht="12.75">
      <c r="A553" s="3"/>
      <c r="B553" s="3"/>
      <c r="C553" s="8"/>
      <c r="D553" s="3"/>
      <c r="E553" s="3"/>
      <c r="F553" s="3"/>
      <c r="G553" s="3"/>
    </row>
    <row r="554" spans="1:7" ht="12.75">
      <c r="A554" s="3"/>
      <c r="B554" s="3"/>
      <c r="C554" s="8"/>
      <c r="D554" s="3"/>
      <c r="E554" s="3"/>
      <c r="F554" s="3"/>
      <c r="G554" s="3"/>
    </row>
    <row r="555" spans="1:7" ht="12.75">
      <c r="A555" s="3"/>
      <c r="B555" s="3"/>
      <c r="C555" s="8"/>
      <c r="D555" s="3"/>
      <c r="E555" s="3"/>
      <c r="F555" s="3"/>
      <c r="G555" s="3"/>
    </row>
    <row r="556" spans="1:7" ht="12.75">
      <c r="A556" s="3"/>
      <c r="B556" s="3"/>
      <c r="C556" s="8"/>
      <c r="D556" s="3"/>
      <c r="E556" s="3"/>
      <c r="F556" s="3"/>
      <c r="G556" s="3"/>
    </row>
    <row r="557" spans="1:7" ht="12.75">
      <c r="A557" s="3"/>
      <c r="B557" s="3"/>
      <c r="C557" s="8"/>
      <c r="D557" s="3"/>
      <c r="E557" s="3"/>
      <c r="F557" s="3"/>
      <c r="G557" s="3"/>
    </row>
    <row r="558" spans="1:7" ht="12.75">
      <c r="A558" s="3"/>
      <c r="B558" s="3"/>
      <c r="C558" s="8"/>
      <c r="D558" s="3"/>
      <c r="E558" s="3"/>
      <c r="F558" s="3"/>
      <c r="G558" s="3"/>
    </row>
    <row r="559" spans="1:7" ht="12.75">
      <c r="A559" s="3"/>
      <c r="B559" s="3"/>
      <c r="C559" s="8"/>
      <c r="D559" s="3"/>
      <c r="E559" s="3"/>
      <c r="F559" s="3"/>
      <c r="G559" s="3"/>
    </row>
    <row r="560" spans="1:7" ht="12.75">
      <c r="A560" s="3"/>
      <c r="B560" s="3"/>
      <c r="C560" s="8"/>
      <c r="D560" s="3"/>
      <c r="E560" s="3"/>
      <c r="F560" s="3"/>
      <c r="G560" s="3"/>
    </row>
    <row r="561" spans="1:7" ht="12.75">
      <c r="A561" s="3"/>
      <c r="B561" s="3"/>
      <c r="C561" s="8"/>
      <c r="D561" s="3"/>
      <c r="E561" s="3"/>
      <c r="F561" s="3"/>
      <c r="G561" s="3"/>
    </row>
    <row r="562" spans="1:7" ht="12.75">
      <c r="A562" s="3"/>
      <c r="B562" s="3"/>
      <c r="C562" s="8"/>
      <c r="D562" s="3"/>
      <c r="E562" s="3"/>
      <c r="F562" s="3"/>
      <c r="G562" s="3"/>
    </row>
    <row r="563" spans="1:7" ht="12.75">
      <c r="A563" s="3"/>
      <c r="B563" s="3"/>
      <c r="C563" s="8"/>
      <c r="D563" s="3"/>
      <c r="E563" s="3"/>
      <c r="F563" s="3"/>
      <c r="G563" s="3"/>
    </row>
    <row r="564" spans="1:7" ht="12.75">
      <c r="A564" s="3"/>
      <c r="B564" s="3"/>
      <c r="C564" s="8"/>
      <c r="D564" s="3"/>
      <c r="E564" s="3"/>
      <c r="F564" s="3"/>
      <c r="G564" s="3"/>
    </row>
    <row r="565" spans="1:7" ht="12.75">
      <c r="A565" s="3"/>
      <c r="B565" s="3"/>
      <c r="C565" s="8"/>
      <c r="D565" s="3"/>
      <c r="E565" s="3"/>
      <c r="F565" s="3"/>
      <c r="G565" s="3"/>
    </row>
    <row r="566" spans="1:7" ht="12.75">
      <c r="A566" s="3"/>
      <c r="B566" s="3"/>
      <c r="C566" s="8"/>
      <c r="D566" s="3"/>
      <c r="E566" s="3"/>
      <c r="F566" s="3"/>
      <c r="G566" s="3"/>
    </row>
    <row r="567" spans="1:7" ht="12.75">
      <c r="A567" s="3"/>
      <c r="B567" s="3"/>
      <c r="C567" s="8"/>
      <c r="D567" s="3"/>
      <c r="E567" s="3"/>
      <c r="F567" s="3"/>
      <c r="G567" s="3"/>
    </row>
    <row r="568" spans="1:7" ht="12.75">
      <c r="A568" s="3"/>
      <c r="B568" s="3"/>
      <c r="C568" s="8"/>
      <c r="D568" s="3"/>
      <c r="E568" s="3"/>
      <c r="F568" s="3"/>
      <c r="G568" s="3"/>
    </row>
    <row r="569" spans="1:7" ht="12.75">
      <c r="A569" s="3"/>
      <c r="B569" s="3"/>
      <c r="C569" s="8"/>
      <c r="D569" s="3"/>
      <c r="E569" s="3"/>
      <c r="F569" s="3"/>
      <c r="G569" s="3"/>
    </row>
    <row r="570" spans="1:7" ht="12.75">
      <c r="A570" s="3"/>
      <c r="B570" s="3"/>
      <c r="C570" s="8"/>
      <c r="D570" s="3"/>
      <c r="E570" s="3"/>
      <c r="F570" s="3"/>
      <c r="G570" s="3"/>
    </row>
    <row r="571" spans="1:7" ht="12.75">
      <c r="A571" s="3"/>
      <c r="B571" s="3"/>
      <c r="C571" s="8"/>
      <c r="D571" s="3"/>
      <c r="E571" s="3"/>
      <c r="F571" s="3"/>
      <c r="G571" s="3"/>
    </row>
    <row r="572" spans="1:7" ht="12.75">
      <c r="A572" s="3"/>
      <c r="B572" s="3"/>
      <c r="C572" s="8"/>
      <c r="D572" s="3"/>
      <c r="E572" s="3"/>
      <c r="F572" s="3"/>
      <c r="G572" s="3"/>
    </row>
    <row r="573" spans="1:7" ht="12.75">
      <c r="A573" s="3"/>
      <c r="B573" s="3"/>
      <c r="C573" s="8"/>
      <c r="D573" s="3"/>
      <c r="E573" s="3"/>
      <c r="F573" s="3"/>
      <c r="G573" s="3"/>
    </row>
    <row r="574" spans="1:7" ht="12.75">
      <c r="A574" s="3"/>
      <c r="B574" s="3"/>
      <c r="C574" s="8"/>
      <c r="D574" s="3"/>
      <c r="E574" s="3"/>
      <c r="F574" s="3"/>
      <c r="G574" s="3"/>
    </row>
    <row r="575" spans="1:7" ht="12.75">
      <c r="A575" s="3"/>
      <c r="B575" s="3"/>
      <c r="C575" s="8"/>
      <c r="D575" s="3"/>
      <c r="E575" s="3"/>
      <c r="F575" s="3"/>
      <c r="G575" s="3"/>
    </row>
    <row r="576" spans="1:7" ht="12.75">
      <c r="A576" s="3"/>
      <c r="B576" s="3"/>
      <c r="C576" s="8"/>
      <c r="D576" s="3"/>
      <c r="E576" s="3"/>
      <c r="F576" s="3"/>
      <c r="G576" s="3"/>
    </row>
    <row r="577" spans="1:7" ht="12.75">
      <c r="A577" s="3"/>
      <c r="B577" s="3"/>
      <c r="C577" s="8"/>
      <c r="D577" s="3"/>
      <c r="E577" s="3"/>
      <c r="F577" s="3"/>
      <c r="G577" s="3"/>
    </row>
    <row r="578" spans="1:7" ht="12.75">
      <c r="A578" s="3"/>
      <c r="B578" s="3"/>
      <c r="C578" s="8"/>
      <c r="D578" s="3"/>
      <c r="E578" s="3"/>
      <c r="F578" s="3"/>
      <c r="G578" s="3"/>
    </row>
    <row r="579" spans="1:7" ht="12.75">
      <c r="A579" s="3"/>
      <c r="B579" s="3"/>
      <c r="C579" s="8"/>
      <c r="D579" s="3"/>
      <c r="E579" s="3"/>
      <c r="F579" s="3"/>
      <c r="G579" s="3"/>
    </row>
    <row r="580" spans="1:7" ht="12.75">
      <c r="A580" s="3"/>
      <c r="B580" s="3"/>
      <c r="C580" s="8"/>
      <c r="D580" s="3"/>
      <c r="E580" s="3"/>
      <c r="F580" s="3"/>
      <c r="G580" s="3"/>
    </row>
    <row r="581" spans="1:7" ht="12.75">
      <c r="A581" s="3"/>
      <c r="B581" s="3"/>
      <c r="C581" s="8"/>
      <c r="D581" s="3"/>
      <c r="E581" s="3"/>
      <c r="F581" s="3"/>
      <c r="G581" s="3"/>
    </row>
    <row r="582" spans="1:7" ht="12.75">
      <c r="A582" s="3"/>
      <c r="B582" s="3"/>
      <c r="C582" s="8"/>
      <c r="D582" s="3"/>
      <c r="E582" s="3"/>
      <c r="F582" s="3"/>
      <c r="G582" s="3"/>
    </row>
    <row r="583" spans="1:7" ht="12.75">
      <c r="A583" s="3"/>
      <c r="B583" s="3"/>
      <c r="C583" s="8"/>
      <c r="D583" s="3"/>
      <c r="E583" s="3"/>
      <c r="F583" s="3"/>
      <c r="G583" s="3"/>
    </row>
    <row r="584" spans="1:7" ht="12.75">
      <c r="A584" s="3"/>
      <c r="B584" s="3"/>
      <c r="C584" s="8"/>
      <c r="D584" s="3"/>
      <c r="E584" s="3"/>
      <c r="F584" s="3"/>
      <c r="G584" s="3"/>
    </row>
    <row r="585" spans="1:7" ht="12.75">
      <c r="A585" s="3"/>
      <c r="B585" s="3"/>
      <c r="C585" s="8"/>
      <c r="D585" s="3"/>
      <c r="E585" s="3"/>
      <c r="F585" s="3"/>
      <c r="G585" s="3"/>
    </row>
    <row r="586" spans="1:7" ht="12.75">
      <c r="A586" s="3"/>
      <c r="B586" s="3"/>
      <c r="C586" s="8"/>
      <c r="D586" s="3"/>
      <c r="E586" s="3"/>
      <c r="F586" s="3"/>
      <c r="G586" s="3"/>
    </row>
    <row r="587" spans="1:7" ht="12.75">
      <c r="A587" s="3"/>
      <c r="B587" s="3"/>
      <c r="C587" s="8"/>
      <c r="D587" s="3"/>
      <c r="E587" s="3"/>
      <c r="F587" s="3"/>
      <c r="G587" s="3"/>
    </row>
    <row r="588" spans="1:7" ht="12.75">
      <c r="A588" s="3"/>
      <c r="B588" s="3"/>
      <c r="C588" s="8"/>
      <c r="D588" s="3"/>
      <c r="E588" s="3"/>
      <c r="F588" s="3"/>
      <c r="G588" s="3"/>
    </row>
    <row r="589" spans="1:7" ht="12.75">
      <c r="A589" s="3"/>
      <c r="B589" s="3"/>
      <c r="C589" s="8"/>
      <c r="D589" s="3"/>
      <c r="E589" s="3"/>
      <c r="F589" s="3"/>
      <c r="G589" s="3"/>
    </row>
    <row r="590" spans="1:7" ht="12.75">
      <c r="A590" s="3"/>
      <c r="B590" s="3"/>
      <c r="C590" s="8"/>
      <c r="D590" s="3"/>
      <c r="E590" s="3"/>
      <c r="F590" s="3"/>
      <c r="G590" s="3"/>
    </row>
    <row r="591" spans="1:7" ht="12.75">
      <c r="A591" s="3"/>
      <c r="B591" s="3"/>
      <c r="C591" s="8"/>
      <c r="D591" s="3"/>
      <c r="E591" s="3"/>
      <c r="F591" s="3"/>
      <c r="G591" s="3"/>
    </row>
    <row r="592" spans="1:7" ht="12.75">
      <c r="A592" s="3"/>
      <c r="B592" s="3"/>
      <c r="C592" s="8"/>
      <c r="D592" s="3"/>
      <c r="E592" s="3"/>
      <c r="F592" s="3"/>
      <c r="G592" s="3"/>
    </row>
    <row r="593" spans="1:7" ht="12.75">
      <c r="A593" s="3"/>
      <c r="B593" s="3"/>
      <c r="C593" s="8"/>
      <c r="D593" s="3"/>
      <c r="E593" s="3"/>
      <c r="F593" s="3"/>
      <c r="G593" s="3"/>
    </row>
    <row r="594" spans="1:7" ht="12.75">
      <c r="A594" s="3"/>
      <c r="B594" s="3"/>
      <c r="C594" s="8"/>
      <c r="D594" s="3"/>
      <c r="E594" s="3"/>
      <c r="F594" s="3"/>
      <c r="G594" s="3"/>
    </row>
    <row r="595" spans="1:7" ht="12.75">
      <c r="A595" s="3"/>
      <c r="B595" s="3"/>
      <c r="C595" s="8"/>
      <c r="D595" s="3"/>
      <c r="E595" s="3"/>
      <c r="F595" s="3"/>
      <c r="G595" s="3"/>
    </row>
    <row r="596" spans="1:7" ht="12.75">
      <c r="A596" s="3"/>
      <c r="B596" s="3"/>
      <c r="C596" s="8"/>
      <c r="D596" s="3"/>
      <c r="E596" s="3"/>
      <c r="F596" s="3"/>
      <c r="G596" s="3"/>
    </row>
    <row r="597" spans="1:7" ht="12.75">
      <c r="A597" s="3"/>
      <c r="B597" s="3"/>
      <c r="C597" s="8"/>
      <c r="D597" s="3"/>
      <c r="E597" s="3"/>
      <c r="F597" s="3"/>
      <c r="G597" s="3"/>
    </row>
    <row r="598" spans="1:7" ht="12.75">
      <c r="A598" s="3"/>
      <c r="B598" s="3"/>
      <c r="C598" s="8"/>
      <c r="D598" s="3"/>
      <c r="E598" s="3"/>
      <c r="F598" s="3"/>
      <c r="G598" s="3"/>
    </row>
    <row r="599" spans="1:7" ht="12.75">
      <c r="A599" s="3"/>
      <c r="B599" s="3"/>
      <c r="C599" s="8"/>
      <c r="D599" s="3"/>
      <c r="E599" s="3"/>
      <c r="F599" s="3"/>
      <c r="G599" s="3"/>
    </row>
    <row r="600" spans="1:7" ht="12.75">
      <c r="A600" s="3"/>
      <c r="B600" s="3"/>
      <c r="C600" s="8"/>
      <c r="D600" s="3"/>
      <c r="E600" s="3"/>
      <c r="F600" s="3"/>
      <c r="G600" s="3"/>
    </row>
    <row r="601" spans="1:7" ht="12.75">
      <c r="A601" s="3"/>
      <c r="B601" s="3"/>
      <c r="C601" s="8"/>
      <c r="D601" s="3"/>
      <c r="E601" s="3"/>
      <c r="F601" s="3"/>
      <c r="G601" s="3"/>
    </row>
    <row r="602" spans="1:7" ht="12.75">
      <c r="A602" s="3"/>
      <c r="B602" s="3"/>
      <c r="C602" s="8"/>
      <c r="D602" s="3"/>
      <c r="E602" s="3"/>
      <c r="F602" s="3"/>
      <c r="G602" s="3"/>
    </row>
    <row r="603" spans="1:7" ht="12.75">
      <c r="A603" s="3"/>
      <c r="B603" s="3"/>
      <c r="C603" s="8"/>
      <c r="D603" s="3"/>
      <c r="E603" s="3"/>
      <c r="F603" s="3"/>
      <c r="G603" s="3"/>
    </row>
    <row r="604" spans="1:7" ht="12.75">
      <c r="A604" s="3"/>
      <c r="B604" s="3"/>
      <c r="C604" s="8"/>
      <c r="D604" s="3"/>
      <c r="E604" s="3"/>
      <c r="F604" s="3"/>
      <c r="G604" s="3"/>
    </row>
    <row r="605" spans="1:7" ht="12.75">
      <c r="A605" s="3"/>
      <c r="B605" s="3"/>
      <c r="C605" s="8"/>
      <c r="D605" s="3"/>
      <c r="E605" s="3"/>
      <c r="F605" s="3"/>
      <c r="G605" s="3"/>
    </row>
    <row r="606" spans="1:7" ht="12.75">
      <c r="A606" s="3"/>
      <c r="B606" s="3"/>
      <c r="C606" s="8"/>
      <c r="D606" s="3"/>
      <c r="E606" s="3"/>
      <c r="F606" s="3"/>
      <c r="G606" s="3"/>
    </row>
    <row r="607" spans="1:7" ht="12.75">
      <c r="A607" s="3"/>
      <c r="B607" s="3"/>
      <c r="C607" s="8"/>
      <c r="D607" s="3"/>
      <c r="E607" s="3"/>
      <c r="F607" s="3"/>
      <c r="G607" s="3"/>
    </row>
    <row r="608" spans="1:7" ht="12.75">
      <c r="A608" s="3"/>
      <c r="B608" s="3"/>
      <c r="C608" s="8"/>
      <c r="D608" s="3"/>
      <c r="E608" s="3"/>
      <c r="F608" s="3"/>
      <c r="G608" s="3"/>
    </row>
    <row r="609" spans="1:7" ht="12.75">
      <c r="A609" s="3"/>
      <c r="B609" s="3"/>
      <c r="C609" s="8"/>
      <c r="D609" s="3"/>
      <c r="E609" s="3"/>
      <c r="F609" s="3"/>
      <c r="G609" s="3"/>
    </row>
    <row r="610" spans="1:7" ht="12.75">
      <c r="A610" s="3"/>
      <c r="B610" s="3"/>
      <c r="C610" s="8"/>
      <c r="D610" s="3"/>
      <c r="E610" s="3"/>
      <c r="F610" s="3"/>
      <c r="G610" s="3"/>
    </row>
    <row r="611" spans="1:7" ht="12.75">
      <c r="A611" s="3"/>
      <c r="B611" s="3"/>
      <c r="C611" s="8"/>
      <c r="D611" s="3"/>
      <c r="E611" s="3"/>
      <c r="F611" s="3"/>
      <c r="G611" s="3"/>
    </row>
    <row r="612" spans="1:7" ht="12.75">
      <c r="A612" s="3"/>
      <c r="B612" s="3"/>
      <c r="C612" s="8"/>
      <c r="D612" s="3"/>
      <c r="E612" s="3"/>
      <c r="F612" s="3"/>
      <c r="G612" s="3"/>
    </row>
    <row r="613" spans="1:7" ht="12.75">
      <c r="A613" s="3"/>
      <c r="B613" s="3"/>
      <c r="C613" s="8"/>
      <c r="D613" s="3"/>
      <c r="E613" s="3"/>
      <c r="F613" s="3"/>
      <c r="G613" s="3"/>
    </row>
    <row r="614" spans="1:7" ht="12.75">
      <c r="A614" s="3"/>
      <c r="B614" s="3"/>
      <c r="C614" s="8"/>
      <c r="D614" s="3"/>
      <c r="E614" s="3"/>
      <c r="F614" s="3"/>
      <c r="G614" s="3"/>
    </row>
    <row r="615" spans="1:7" ht="12.75">
      <c r="A615" s="3"/>
      <c r="B615" s="3"/>
      <c r="C615" s="8"/>
      <c r="D615" s="3"/>
      <c r="E615" s="3"/>
      <c r="F615" s="3"/>
      <c r="G615" s="3"/>
    </row>
    <row r="616" spans="1:7" ht="12.75">
      <c r="A616" s="3"/>
      <c r="B616" s="3"/>
      <c r="C616" s="8"/>
      <c r="D616" s="3"/>
      <c r="E616" s="3"/>
      <c r="F616" s="3"/>
      <c r="G616" s="3"/>
    </row>
    <row r="617" spans="1:7" ht="12.75">
      <c r="A617" s="3"/>
      <c r="B617" s="3"/>
      <c r="C617" s="8"/>
      <c r="D617" s="3"/>
      <c r="E617" s="3"/>
      <c r="F617" s="3"/>
      <c r="G617" s="3"/>
    </row>
    <row r="618" spans="1:7" ht="12.75">
      <c r="A618" s="3"/>
      <c r="B618" s="3"/>
      <c r="C618" s="8"/>
      <c r="D618" s="3"/>
      <c r="E618" s="3"/>
      <c r="F618" s="3"/>
      <c r="G618" s="3"/>
    </row>
    <row r="619" spans="1:7" ht="12.75">
      <c r="A619" s="3"/>
      <c r="B619" s="3"/>
      <c r="C619" s="8"/>
      <c r="D619" s="3"/>
      <c r="E619" s="3"/>
      <c r="F619" s="3"/>
      <c r="G619" s="3"/>
    </row>
    <row r="620" spans="1:7" ht="12.75">
      <c r="A620" s="3"/>
      <c r="B620" s="3"/>
      <c r="C620" s="8"/>
      <c r="D620" s="3"/>
      <c r="E620" s="3"/>
      <c r="F620" s="3"/>
      <c r="G620" s="3"/>
    </row>
    <row r="621" spans="1:7" ht="12.75">
      <c r="A621" s="3"/>
      <c r="B621" s="3"/>
      <c r="C621" s="8"/>
      <c r="D621" s="3"/>
      <c r="E621" s="3"/>
      <c r="F621" s="3"/>
      <c r="G621" s="3"/>
    </row>
    <row r="622" spans="1:7" ht="12.75">
      <c r="A622" s="3"/>
      <c r="B622" s="3"/>
      <c r="C622" s="8"/>
      <c r="D622" s="3"/>
      <c r="E622" s="3"/>
      <c r="F622" s="3"/>
      <c r="G622" s="3"/>
    </row>
    <row r="623" spans="1:7" ht="12.75">
      <c r="A623" s="3"/>
      <c r="B623" s="3"/>
      <c r="C623" s="8"/>
      <c r="D623" s="3"/>
      <c r="E623" s="3"/>
      <c r="F623" s="3"/>
      <c r="G623" s="3"/>
    </row>
    <row r="624" spans="1:7" ht="12.75">
      <c r="A624" s="3"/>
      <c r="B624" s="3"/>
      <c r="C624" s="8"/>
      <c r="D624" s="3"/>
      <c r="E624" s="3"/>
      <c r="F624" s="3"/>
      <c r="G624" s="3"/>
    </row>
    <row r="625" spans="1:7" ht="12.75">
      <c r="A625" s="3"/>
      <c r="B625" s="3"/>
      <c r="C625" s="8"/>
      <c r="D625" s="3"/>
      <c r="E625" s="3"/>
      <c r="F625" s="3"/>
      <c r="G625" s="3"/>
    </row>
    <row r="626" spans="1:7" ht="12.75">
      <c r="A626" s="3"/>
      <c r="B626" s="3"/>
      <c r="C626" s="8"/>
      <c r="D626" s="3"/>
      <c r="E626" s="3"/>
      <c r="F626" s="3"/>
      <c r="G626" s="3"/>
    </row>
    <row r="627" spans="1:7" ht="12.75">
      <c r="A627" s="3"/>
      <c r="B627" s="3"/>
      <c r="C627" s="8"/>
      <c r="D627" s="3"/>
      <c r="E627" s="3"/>
      <c r="F627" s="3"/>
      <c r="G627" s="3"/>
    </row>
    <row r="628" spans="1:7" ht="12.75">
      <c r="A628" s="3"/>
      <c r="B628" s="3"/>
      <c r="C628" s="8"/>
      <c r="D628" s="3"/>
      <c r="E628" s="3"/>
      <c r="F628" s="3"/>
      <c r="G628" s="3"/>
    </row>
    <row r="629" spans="1:7" ht="12.75">
      <c r="A629" s="3"/>
      <c r="B629" s="3"/>
      <c r="C629" s="8"/>
      <c r="D629" s="3"/>
      <c r="E629" s="3"/>
      <c r="F629" s="3"/>
      <c r="G629" s="3"/>
    </row>
    <row r="630" spans="1:7" ht="12.75">
      <c r="A630" s="3"/>
      <c r="B630" s="3"/>
      <c r="C630" s="8"/>
      <c r="D630" s="3"/>
      <c r="E630" s="3"/>
      <c r="F630" s="3"/>
      <c r="G630" s="3"/>
    </row>
    <row r="631" spans="1:7" ht="12.75">
      <c r="A631" s="3"/>
      <c r="B631" s="3"/>
      <c r="C631" s="8"/>
      <c r="D631" s="3"/>
      <c r="E631" s="3"/>
      <c r="F631" s="3"/>
      <c r="G631" s="3"/>
    </row>
    <row r="632" spans="1:7" ht="12.75">
      <c r="A632" s="3"/>
      <c r="B632" s="3"/>
      <c r="C632" s="8"/>
      <c r="D632" s="3"/>
      <c r="E632" s="3"/>
      <c r="F632" s="3"/>
      <c r="G632" s="3"/>
    </row>
    <row r="633" spans="1:7" ht="12.75">
      <c r="A633" s="3"/>
      <c r="B633" s="3"/>
      <c r="C633" s="8"/>
      <c r="D633" s="3"/>
      <c r="E633" s="3"/>
      <c r="F633" s="3"/>
      <c r="G633" s="3"/>
    </row>
    <row r="634" spans="1:7" ht="12.75">
      <c r="A634" s="3"/>
      <c r="B634" s="3"/>
      <c r="C634" s="8"/>
      <c r="D634" s="3"/>
      <c r="E634" s="3"/>
      <c r="F634" s="3"/>
      <c r="G634" s="3"/>
    </row>
    <row r="635" spans="1:7" ht="12.75">
      <c r="A635" s="3"/>
      <c r="B635" s="3"/>
      <c r="C635" s="8"/>
      <c r="D635" s="3"/>
      <c r="E635" s="3"/>
      <c r="F635" s="3"/>
      <c r="G635" s="3"/>
    </row>
    <row r="636" spans="1:7" ht="12.75">
      <c r="A636" s="3"/>
      <c r="B636" s="3"/>
      <c r="C636" s="8"/>
      <c r="D636" s="3"/>
      <c r="E636" s="3"/>
      <c r="F636" s="3"/>
      <c r="G636" s="3"/>
    </row>
    <row r="637" spans="1:7" ht="12.75">
      <c r="A637" s="3"/>
      <c r="B637" s="3"/>
      <c r="C637" s="8"/>
      <c r="D637" s="3"/>
      <c r="E637" s="3"/>
      <c r="F637" s="3"/>
      <c r="G637" s="3"/>
    </row>
    <row r="638" spans="1:7" ht="12.75">
      <c r="A638" s="3"/>
      <c r="B638" s="3"/>
      <c r="C638" s="8"/>
      <c r="D638" s="3"/>
      <c r="E638" s="3"/>
      <c r="F638" s="3"/>
      <c r="G638" s="3"/>
    </row>
    <row r="639" spans="1:7" ht="12.75">
      <c r="A639" s="3"/>
      <c r="B639" s="3"/>
      <c r="C639" s="8"/>
      <c r="D639" s="3"/>
      <c r="E639" s="3"/>
      <c r="F639" s="3"/>
      <c r="G639" s="3"/>
    </row>
    <row r="640" spans="1:7" ht="12.75">
      <c r="A640" s="3"/>
      <c r="B640" s="3"/>
      <c r="C640" s="8"/>
      <c r="D640" s="3"/>
      <c r="E640" s="3"/>
      <c r="F640" s="3"/>
      <c r="G640" s="3"/>
    </row>
    <row r="641" spans="1:7" ht="12.75">
      <c r="A641" s="3"/>
      <c r="B641" s="3"/>
      <c r="C641" s="8"/>
      <c r="D641" s="3"/>
      <c r="E641" s="3"/>
      <c r="F641" s="3"/>
      <c r="G641" s="3"/>
    </row>
    <row r="642" spans="1:7" ht="12.75">
      <c r="A642" s="3"/>
      <c r="B642" s="3"/>
      <c r="C642" s="8"/>
      <c r="D642" s="3"/>
      <c r="E642" s="3"/>
      <c r="F642" s="3"/>
      <c r="G642" s="3"/>
    </row>
    <row r="643" spans="1:7" ht="12.75">
      <c r="A643" s="3"/>
      <c r="B643" s="3"/>
      <c r="C643" s="8"/>
      <c r="D643" s="3"/>
      <c r="E643" s="3"/>
      <c r="F643" s="3"/>
      <c r="G643" s="3"/>
    </row>
    <row r="644" spans="1:7" ht="12.75">
      <c r="A644" s="3"/>
      <c r="B644" s="3"/>
      <c r="C644" s="8"/>
      <c r="D644" s="3"/>
      <c r="E644" s="3"/>
      <c r="F644" s="3"/>
      <c r="G644" s="3"/>
    </row>
    <row r="645" spans="1:7" ht="12.75">
      <c r="A645" s="3"/>
      <c r="B645" s="3"/>
      <c r="C645" s="8"/>
      <c r="D645" s="3"/>
      <c r="E645" s="3"/>
      <c r="F645" s="3"/>
      <c r="G645" s="3"/>
    </row>
    <row r="646" spans="1:7" ht="12.75">
      <c r="A646" s="3"/>
      <c r="B646" s="3"/>
      <c r="C646" s="8"/>
      <c r="D646" s="3"/>
      <c r="E646" s="3"/>
      <c r="F646" s="3"/>
      <c r="G646" s="3"/>
    </row>
    <row r="647" spans="1:7" ht="12.75">
      <c r="A647" s="3"/>
      <c r="B647" s="3"/>
      <c r="C647" s="8"/>
      <c r="D647" s="3"/>
      <c r="E647" s="3"/>
      <c r="F647" s="3"/>
      <c r="G647" s="3"/>
    </row>
    <row r="648" spans="1:7" ht="12.75">
      <c r="A648" s="3"/>
      <c r="B648" s="3"/>
      <c r="C648" s="8"/>
      <c r="D648" s="3"/>
      <c r="E648" s="3"/>
      <c r="F648" s="3"/>
      <c r="G648" s="3"/>
    </row>
    <row r="649" spans="1:7" ht="12.75">
      <c r="A649" s="3"/>
      <c r="B649" s="3"/>
      <c r="C649" s="8"/>
      <c r="D649" s="3"/>
      <c r="E649" s="3"/>
      <c r="F649" s="3"/>
      <c r="G649" s="3"/>
    </row>
    <row r="650" spans="1:7" ht="12.75">
      <c r="A650" s="3"/>
      <c r="B650" s="3"/>
      <c r="C650" s="8"/>
      <c r="D650" s="3"/>
      <c r="E650" s="3"/>
      <c r="F650" s="3"/>
      <c r="G650" s="3"/>
    </row>
    <row r="651" spans="1:7" ht="12.75">
      <c r="A651" s="3"/>
      <c r="B651" s="3"/>
      <c r="C651" s="8"/>
      <c r="D651" s="3"/>
      <c r="E651" s="3"/>
      <c r="F651" s="3"/>
      <c r="G651" s="3"/>
    </row>
    <row r="652" spans="1:7" ht="12.75">
      <c r="A652" s="3"/>
      <c r="B652" s="3"/>
      <c r="C652" s="8"/>
      <c r="D652" s="3"/>
      <c r="E652" s="3"/>
      <c r="F652" s="3"/>
      <c r="G652" s="3"/>
    </row>
    <row r="653" spans="1:7" ht="12.75">
      <c r="A653" s="3"/>
      <c r="B653" s="3"/>
      <c r="C653" s="8"/>
      <c r="D653" s="3"/>
      <c r="E653" s="3"/>
      <c r="F653" s="3"/>
      <c r="G653" s="3"/>
    </row>
    <row r="654" spans="1:7" ht="12.75">
      <c r="A654" s="3"/>
      <c r="B654" s="3"/>
      <c r="C654" s="8"/>
      <c r="D654" s="3"/>
      <c r="E654" s="3"/>
      <c r="F654" s="3"/>
      <c r="G654" s="3"/>
    </row>
    <row r="655" spans="1:7" ht="12.75">
      <c r="A655" s="3"/>
      <c r="B655" s="3"/>
      <c r="C655" s="8"/>
      <c r="D655" s="3"/>
      <c r="E655" s="3"/>
      <c r="F655" s="3"/>
      <c r="G655" s="3"/>
    </row>
    <row r="656" spans="1:7" ht="12.75">
      <c r="A656" s="3"/>
      <c r="B656" s="3"/>
      <c r="C656" s="8"/>
      <c r="D656" s="3"/>
      <c r="E656" s="3"/>
      <c r="F656" s="3"/>
      <c r="G656" s="3"/>
    </row>
    <row r="657" spans="1:7" ht="12.75">
      <c r="A657" s="3"/>
      <c r="B657" s="3"/>
      <c r="C657" s="8"/>
      <c r="D657" s="3"/>
      <c r="E657" s="3"/>
      <c r="F657" s="3"/>
      <c r="G657" s="3"/>
    </row>
    <row r="658" spans="1:7" ht="12.75">
      <c r="A658" s="3"/>
      <c r="B658" s="3"/>
      <c r="C658" s="8"/>
      <c r="D658" s="3"/>
      <c r="E658" s="3"/>
      <c r="F658" s="3"/>
      <c r="G658" s="3"/>
    </row>
    <row r="659" spans="1:7" ht="12.75">
      <c r="A659" s="3"/>
      <c r="B659" s="3"/>
      <c r="C659" s="8"/>
      <c r="D659" s="3"/>
      <c r="E659" s="3"/>
      <c r="F659" s="3"/>
      <c r="G659" s="3"/>
    </row>
    <row r="660" spans="1:7" ht="12.75">
      <c r="A660" s="3"/>
      <c r="B660" s="3"/>
      <c r="C660" s="8"/>
      <c r="D660" s="3"/>
      <c r="E660" s="3"/>
      <c r="F660" s="3"/>
      <c r="G660" s="3"/>
    </row>
    <row r="661" spans="1:7" ht="12.75">
      <c r="A661" s="3"/>
      <c r="B661" s="3"/>
      <c r="C661" s="8"/>
      <c r="D661" s="3"/>
      <c r="E661" s="3"/>
      <c r="F661" s="3"/>
      <c r="G661" s="3"/>
    </row>
    <row r="662" spans="1:7" ht="12.75">
      <c r="A662" s="3"/>
      <c r="B662" s="3"/>
      <c r="C662" s="8"/>
      <c r="D662" s="3"/>
      <c r="E662" s="3"/>
      <c r="F662" s="3"/>
      <c r="G662" s="3"/>
    </row>
    <row r="663" spans="1:7" ht="12.75">
      <c r="A663" s="3"/>
      <c r="B663" s="3"/>
      <c r="C663" s="8"/>
      <c r="D663" s="3"/>
      <c r="E663" s="3"/>
      <c r="F663" s="3"/>
      <c r="G663" s="3"/>
    </row>
    <row r="664" spans="1:7" ht="12.75">
      <c r="A664" s="3"/>
      <c r="B664" s="3"/>
      <c r="C664" s="8"/>
      <c r="D664" s="3"/>
      <c r="E664" s="3"/>
      <c r="F664" s="3"/>
      <c r="G664" s="3"/>
    </row>
    <row r="665" spans="1:7" ht="12.75">
      <c r="A665" s="3"/>
      <c r="B665" s="3"/>
      <c r="C665" s="8"/>
      <c r="D665" s="3"/>
      <c r="E665" s="3"/>
      <c r="F665" s="3"/>
      <c r="G665" s="3"/>
    </row>
    <row r="666" spans="1:7" ht="12.75">
      <c r="A666" s="3"/>
      <c r="B666" s="3"/>
      <c r="C666" s="8"/>
      <c r="D666" s="3"/>
      <c r="E666" s="3"/>
      <c r="F666" s="3"/>
      <c r="G666" s="3"/>
    </row>
    <row r="667" spans="1:7" ht="12.75">
      <c r="A667" s="3"/>
      <c r="B667" s="3"/>
      <c r="C667" s="8"/>
      <c r="D667" s="3"/>
      <c r="E667" s="3"/>
      <c r="F667" s="3"/>
      <c r="G667" s="3"/>
    </row>
    <row r="668" spans="1:7" ht="12.75">
      <c r="A668" s="3"/>
      <c r="B668" s="3"/>
      <c r="C668" s="8"/>
      <c r="D668" s="3"/>
      <c r="E668" s="3"/>
      <c r="F668" s="3"/>
      <c r="G668" s="3"/>
    </row>
    <row r="669" spans="1:7" ht="12.75">
      <c r="A669" s="3"/>
      <c r="B669" s="3"/>
      <c r="C669" s="8"/>
      <c r="D669" s="3"/>
      <c r="E669" s="3"/>
      <c r="F669" s="3"/>
      <c r="G669" s="3"/>
    </row>
    <row r="670" spans="1:7" ht="12.75">
      <c r="A670" s="3"/>
      <c r="B670" s="3"/>
      <c r="C670" s="8"/>
      <c r="D670" s="3"/>
      <c r="E670" s="3"/>
      <c r="F670" s="3"/>
      <c r="G670" s="3"/>
    </row>
    <row r="671" spans="1:7" ht="12.75">
      <c r="A671" s="3"/>
      <c r="B671" s="3"/>
      <c r="C671" s="8"/>
      <c r="D671" s="3"/>
      <c r="E671" s="3"/>
      <c r="F671" s="3"/>
      <c r="G671" s="3"/>
    </row>
    <row r="672" spans="1:7" ht="12.75">
      <c r="A672" s="3"/>
      <c r="B672" s="3"/>
      <c r="C672" s="8"/>
      <c r="D672" s="3"/>
      <c r="E672" s="3"/>
      <c r="F672" s="3"/>
      <c r="G672" s="3"/>
    </row>
    <row r="673" spans="1:7" ht="12.75">
      <c r="A673" s="3"/>
      <c r="B673" s="3"/>
      <c r="C673" s="8"/>
      <c r="D673" s="3"/>
      <c r="E673" s="3"/>
      <c r="F673" s="3"/>
      <c r="G673" s="3"/>
    </row>
    <row r="674" spans="1:7" ht="12.75">
      <c r="A674" s="3"/>
      <c r="B674" s="3"/>
      <c r="C674" s="8"/>
      <c r="D674" s="3"/>
      <c r="E674" s="3"/>
      <c r="F674" s="3"/>
      <c r="G674" s="3"/>
    </row>
    <row r="675" spans="1:7" ht="12.75">
      <c r="A675" s="3"/>
      <c r="B675" s="3"/>
      <c r="C675" s="8"/>
      <c r="D675" s="3"/>
      <c r="E675" s="3"/>
      <c r="F675" s="3"/>
      <c r="G675" s="3"/>
    </row>
    <row r="676" spans="1:7" ht="12.75">
      <c r="A676" s="3"/>
      <c r="B676" s="3"/>
      <c r="C676" s="8"/>
      <c r="D676" s="3"/>
      <c r="E676" s="3"/>
      <c r="F676" s="3"/>
      <c r="G676" s="3"/>
    </row>
    <row r="677" spans="1:7" ht="12.75">
      <c r="A677" s="3"/>
      <c r="B677" s="3"/>
      <c r="C677" s="8"/>
      <c r="D677" s="3"/>
      <c r="E677" s="3"/>
      <c r="F677" s="3"/>
      <c r="G677" s="3"/>
    </row>
    <row r="678" spans="1:7" ht="12.75">
      <c r="A678" s="3"/>
      <c r="B678" s="3"/>
      <c r="C678" s="8"/>
      <c r="D678" s="3"/>
      <c r="E678" s="3"/>
      <c r="F678" s="3"/>
      <c r="G678" s="3"/>
    </row>
    <row r="679" spans="1:7" ht="12.75">
      <c r="A679" s="3"/>
      <c r="B679" s="3"/>
      <c r="C679" s="8"/>
      <c r="D679" s="3"/>
      <c r="E679" s="3"/>
      <c r="F679" s="3"/>
      <c r="G679" s="3"/>
    </row>
    <row r="680" spans="1:7" ht="12.75">
      <c r="A680" s="3"/>
      <c r="B680" s="3"/>
      <c r="C680" s="8"/>
      <c r="D680" s="3"/>
      <c r="E680" s="3"/>
      <c r="F680" s="3"/>
      <c r="G680" s="3"/>
    </row>
    <row r="681" spans="1:7" ht="12.75">
      <c r="A681" s="3"/>
      <c r="B681" s="3"/>
      <c r="C681" s="8"/>
      <c r="D681" s="3"/>
      <c r="E681" s="3"/>
      <c r="F681" s="3"/>
      <c r="G681" s="3"/>
    </row>
    <row r="682" spans="1:7" ht="12.75">
      <c r="A682" s="3"/>
      <c r="B682" s="3"/>
      <c r="C682" s="8"/>
      <c r="D682" s="3"/>
      <c r="E682" s="3"/>
      <c r="F682" s="3"/>
      <c r="G682" s="3"/>
    </row>
    <row r="683" spans="1:7" ht="12.75">
      <c r="A683" s="3"/>
      <c r="B683" s="3"/>
      <c r="C683" s="8"/>
      <c r="D683" s="3"/>
      <c r="E683" s="3"/>
      <c r="F683" s="3"/>
      <c r="G683" s="3"/>
    </row>
    <row r="684" spans="1:7" ht="12.75">
      <c r="A684" s="3"/>
      <c r="B684" s="3"/>
      <c r="C684" s="8"/>
      <c r="D684" s="3"/>
      <c r="E684" s="3"/>
      <c r="F684" s="3"/>
      <c r="G684" s="3"/>
    </row>
    <row r="685" spans="1:7" ht="12.75">
      <c r="A685" s="3"/>
      <c r="B685" s="3"/>
      <c r="C685" s="8"/>
      <c r="D685" s="3"/>
      <c r="E685" s="3"/>
      <c r="F685" s="3"/>
      <c r="G685" s="3"/>
    </row>
    <row r="686" spans="1:7" ht="12.75">
      <c r="A686" s="3"/>
      <c r="B686" s="3"/>
      <c r="C686" s="8"/>
      <c r="D686" s="3"/>
      <c r="E686" s="3"/>
      <c r="F686" s="3"/>
      <c r="G686" s="3"/>
    </row>
    <row r="687" spans="1:7" ht="12.75">
      <c r="A687" s="3"/>
      <c r="B687" s="3"/>
      <c r="C687" s="8"/>
      <c r="D687" s="3"/>
      <c r="E687" s="3"/>
      <c r="F687" s="3"/>
      <c r="G687" s="3"/>
    </row>
    <row r="688" spans="1:7" ht="12.75">
      <c r="A688" s="3"/>
      <c r="B688" s="3"/>
      <c r="C688" s="8"/>
      <c r="D688" s="3"/>
      <c r="E688" s="3"/>
      <c r="F688" s="3"/>
      <c r="G688" s="3"/>
    </row>
    <row r="689" spans="1:7" ht="12.75">
      <c r="A689" s="3"/>
      <c r="B689" s="3"/>
      <c r="C689" s="8"/>
      <c r="D689" s="3"/>
      <c r="E689" s="3"/>
      <c r="F689" s="3"/>
      <c r="G689" s="3"/>
    </row>
    <row r="690" spans="1:7" ht="12.75">
      <c r="A690" s="3"/>
      <c r="B690" s="3"/>
      <c r="C690" s="8"/>
      <c r="D690" s="3"/>
      <c r="E690" s="3"/>
      <c r="F690" s="3"/>
      <c r="G690" s="3"/>
    </row>
    <row r="691" spans="1:7" ht="12.75">
      <c r="A691" s="3"/>
      <c r="B691" s="3"/>
      <c r="C691" s="8"/>
      <c r="D691" s="3"/>
      <c r="E691" s="3"/>
      <c r="F691" s="3"/>
      <c r="G691" s="3"/>
    </row>
    <row r="692" spans="1:7" ht="12.75">
      <c r="A692" s="3"/>
      <c r="B692" s="3"/>
      <c r="C692" s="8"/>
      <c r="D692" s="3"/>
      <c r="E692" s="3"/>
      <c r="F692" s="3"/>
      <c r="G692" s="3"/>
    </row>
    <row r="693" spans="1:7" ht="12.75">
      <c r="A693" s="3"/>
      <c r="B693" s="3"/>
      <c r="C693" s="8"/>
      <c r="D693" s="3"/>
      <c r="E693" s="3"/>
      <c r="F693" s="3"/>
      <c r="G693" s="3"/>
    </row>
    <row r="694" spans="1:7" ht="12.75">
      <c r="A694" s="3"/>
      <c r="B694" s="3"/>
      <c r="C694" s="8"/>
      <c r="D694" s="3"/>
      <c r="E694" s="3"/>
      <c r="F694" s="3"/>
      <c r="G694" s="3"/>
    </row>
    <row r="695" spans="1:7" ht="12.75">
      <c r="A695" s="3"/>
      <c r="B695" s="3"/>
      <c r="C695" s="8"/>
      <c r="D695" s="3"/>
      <c r="E695" s="3"/>
      <c r="F695" s="3"/>
      <c r="G695" s="3"/>
    </row>
    <row r="696" spans="1:7" ht="12.75">
      <c r="A696" s="3"/>
      <c r="B696" s="3"/>
      <c r="C696" s="8"/>
      <c r="D696" s="3"/>
      <c r="E696" s="3"/>
      <c r="F696" s="3"/>
      <c r="G696" s="3"/>
    </row>
    <row r="697" spans="1:7" ht="12.75">
      <c r="A697" s="3"/>
      <c r="B697" s="3"/>
      <c r="C697" s="8"/>
      <c r="D697" s="3"/>
      <c r="E697" s="3"/>
      <c r="F697" s="3"/>
      <c r="G697" s="3"/>
    </row>
    <row r="698" spans="1:7" ht="12.75">
      <c r="A698" s="3"/>
      <c r="B698" s="3"/>
      <c r="C698" s="8"/>
      <c r="D698" s="3"/>
      <c r="E698" s="3"/>
      <c r="F698" s="3"/>
      <c r="G698" s="3"/>
    </row>
    <row r="699" spans="1:7" ht="12.75">
      <c r="A699" s="3"/>
      <c r="B699" s="3"/>
      <c r="C699" s="8"/>
      <c r="D699" s="3"/>
      <c r="E699" s="3"/>
      <c r="F699" s="3"/>
      <c r="G699" s="3"/>
    </row>
    <row r="700" spans="1:7" ht="12.75">
      <c r="A700" s="3"/>
      <c r="B700" s="3"/>
      <c r="C700" s="8"/>
      <c r="D700" s="3"/>
      <c r="E700" s="3"/>
      <c r="F700" s="3"/>
      <c r="G700" s="3"/>
    </row>
    <row r="701" spans="1:7" ht="12.75">
      <c r="A701" s="3"/>
      <c r="B701" s="3"/>
      <c r="C701" s="8"/>
      <c r="D701" s="3"/>
      <c r="E701" s="3"/>
      <c r="F701" s="3"/>
      <c r="G701" s="3"/>
    </row>
    <row r="702" spans="1:7" ht="12.75">
      <c r="A702" s="3"/>
      <c r="B702" s="3"/>
      <c r="C702" s="8"/>
      <c r="D702" s="3"/>
      <c r="E702" s="3"/>
      <c r="F702" s="3"/>
      <c r="G702" s="3"/>
    </row>
    <row r="703" spans="1:7" ht="12.75">
      <c r="A703" s="3"/>
      <c r="B703" s="3"/>
      <c r="C703" s="8"/>
      <c r="D703" s="3"/>
      <c r="E703" s="3"/>
      <c r="F703" s="3"/>
      <c r="G703" s="3"/>
    </row>
    <row r="704" spans="1:7" ht="12.75">
      <c r="A704" s="3"/>
      <c r="B704" s="3"/>
      <c r="C704" s="8"/>
      <c r="D704" s="3"/>
      <c r="E704" s="3"/>
      <c r="F704" s="3"/>
      <c r="G704" s="3"/>
    </row>
    <row r="705" spans="1:7" ht="12.75">
      <c r="A705" s="3"/>
      <c r="B705" s="3"/>
      <c r="C705" s="8"/>
      <c r="D705" s="3"/>
      <c r="E705" s="3"/>
      <c r="F705" s="3"/>
      <c r="G705" s="3"/>
    </row>
    <row r="706" spans="1:7" ht="12.75">
      <c r="A706" s="3"/>
      <c r="B706" s="3"/>
      <c r="C706" s="8"/>
      <c r="D706" s="3"/>
      <c r="E706" s="3"/>
      <c r="F706" s="3"/>
      <c r="G706" s="3"/>
    </row>
    <row r="707" spans="1:7" ht="12.75">
      <c r="A707" s="3"/>
      <c r="B707" s="3"/>
      <c r="C707" s="8"/>
      <c r="D707" s="3"/>
      <c r="E707" s="3"/>
      <c r="F707" s="3"/>
      <c r="G707" s="3"/>
    </row>
    <row r="708" spans="1:7" ht="12.75">
      <c r="A708" s="3"/>
      <c r="B708" s="3"/>
      <c r="C708" s="8"/>
      <c r="D708" s="3"/>
      <c r="E708" s="3"/>
      <c r="F708" s="3"/>
      <c r="G708" s="3"/>
    </row>
    <row r="709" spans="1:7" ht="12.75">
      <c r="A709" s="3"/>
      <c r="B709" s="3"/>
      <c r="C709" s="8"/>
      <c r="D709" s="3"/>
      <c r="E709" s="3"/>
      <c r="F709" s="3"/>
      <c r="G709" s="3"/>
    </row>
    <row r="710" spans="1:7" ht="12.75">
      <c r="A710" s="3"/>
      <c r="B710" s="3"/>
      <c r="C710" s="8"/>
      <c r="D710" s="3"/>
      <c r="E710" s="3"/>
      <c r="F710" s="3"/>
      <c r="G710" s="3"/>
    </row>
    <row r="711" spans="1:7" ht="12.75">
      <c r="A711" s="3"/>
      <c r="B711" s="3"/>
      <c r="C711" s="8"/>
      <c r="D711" s="3"/>
      <c r="E711" s="3"/>
      <c r="F711" s="3"/>
      <c r="G711" s="3"/>
    </row>
    <row r="712" spans="1:7" ht="12.75">
      <c r="A712" s="3"/>
      <c r="B712" s="3"/>
      <c r="C712" s="8"/>
      <c r="D712" s="3"/>
      <c r="E712" s="3"/>
      <c r="F712" s="3"/>
      <c r="G712" s="3"/>
    </row>
    <row r="713" spans="1:7" ht="12.75">
      <c r="A713" s="3"/>
      <c r="B713" s="3"/>
      <c r="C713" s="8"/>
      <c r="D713" s="3"/>
      <c r="E713" s="3"/>
      <c r="F713" s="3"/>
      <c r="G713" s="3"/>
    </row>
    <row r="714" spans="1:7" ht="12.75">
      <c r="A714" s="3"/>
      <c r="B714" s="3"/>
      <c r="C714" s="8"/>
      <c r="D714" s="3"/>
      <c r="E714" s="3"/>
      <c r="F714" s="3"/>
      <c r="G714" s="3"/>
    </row>
    <row r="715" spans="1:7" ht="12.75">
      <c r="A715" s="3"/>
      <c r="B715" s="3"/>
      <c r="C715" s="8"/>
      <c r="D715" s="3"/>
      <c r="E715" s="3"/>
      <c r="F715" s="3"/>
      <c r="G715" s="3"/>
    </row>
    <row r="716" spans="1:7" ht="12.75">
      <c r="A716" s="3"/>
      <c r="B716" s="3"/>
      <c r="C716" s="8"/>
      <c r="D716" s="3"/>
      <c r="E716" s="3"/>
      <c r="F716" s="3"/>
      <c r="G716" s="3"/>
    </row>
    <row r="717" spans="1:7" ht="12.75">
      <c r="A717" s="3"/>
      <c r="B717" s="3"/>
      <c r="C717" s="8"/>
      <c r="D717" s="3"/>
      <c r="E717" s="3"/>
      <c r="F717" s="3"/>
      <c r="G717" s="3"/>
    </row>
    <row r="718" spans="1:7" ht="12.75">
      <c r="A718" s="3"/>
      <c r="B718" s="3"/>
      <c r="C718" s="8"/>
      <c r="D718" s="3"/>
      <c r="E718" s="3"/>
      <c r="F718" s="3"/>
      <c r="G718" s="3"/>
    </row>
    <row r="719" spans="1:7" ht="12.75">
      <c r="A719" s="3"/>
      <c r="B719" s="3"/>
      <c r="C719" s="8"/>
      <c r="D719" s="3"/>
      <c r="E719" s="3"/>
      <c r="F719" s="3"/>
      <c r="G719" s="3"/>
    </row>
    <row r="720" spans="1:7" ht="12.75">
      <c r="A720" s="3"/>
      <c r="B720" s="3"/>
      <c r="C720" s="8"/>
      <c r="D720" s="3"/>
      <c r="E720" s="3"/>
      <c r="F720" s="3"/>
      <c r="G720" s="3"/>
    </row>
    <row r="721" spans="1:7" ht="12.75">
      <c r="A721" s="3"/>
      <c r="B721" s="3"/>
      <c r="C721" s="8"/>
      <c r="D721" s="3"/>
      <c r="E721" s="3"/>
      <c r="F721" s="3"/>
      <c r="G721" s="3"/>
    </row>
    <row r="722" spans="1:7" ht="12.75">
      <c r="A722" s="3"/>
      <c r="B722" s="3"/>
      <c r="C722" s="8"/>
      <c r="D722" s="3"/>
      <c r="E722" s="3"/>
      <c r="F722" s="3"/>
      <c r="G722" s="3"/>
    </row>
    <row r="723" spans="1:7" ht="12.75">
      <c r="A723" s="3"/>
      <c r="B723" s="3"/>
      <c r="C723" s="8"/>
      <c r="D723" s="3"/>
      <c r="E723" s="3"/>
      <c r="F723" s="3"/>
      <c r="G723" s="3"/>
    </row>
    <row r="724" spans="1:7" ht="12.75">
      <c r="A724" s="3"/>
      <c r="B724" s="3"/>
      <c r="C724" s="8"/>
      <c r="D724" s="3"/>
      <c r="E724" s="3"/>
      <c r="F724" s="3"/>
      <c r="G724" s="3"/>
    </row>
    <row r="725" spans="1:7" ht="12.75">
      <c r="A725" s="3"/>
      <c r="B725" s="3"/>
      <c r="C725" s="8"/>
      <c r="D725" s="3"/>
      <c r="E725" s="3"/>
      <c r="F725" s="3"/>
      <c r="G725" s="3"/>
    </row>
    <row r="726" spans="1:7" ht="12.75">
      <c r="A726" s="3"/>
      <c r="B726" s="3"/>
      <c r="C726" s="8"/>
      <c r="D726" s="3"/>
      <c r="E726" s="3"/>
      <c r="F726" s="3"/>
      <c r="G726" s="3"/>
    </row>
    <row r="727" spans="1:7" ht="12.75">
      <c r="A727" s="3"/>
      <c r="B727" s="3"/>
      <c r="C727" s="8"/>
      <c r="D727" s="3"/>
      <c r="E727" s="3"/>
      <c r="F727" s="3"/>
      <c r="G727" s="3"/>
    </row>
    <row r="728" spans="1:7" ht="12.75">
      <c r="A728" s="3"/>
      <c r="B728" s="3"/>
      <c r="C728" s="8"/>
      <c r="D728" s="3"/>
      <c r="E728" s="3"/>
      <c r="F728" s="3"/>
      <c r="G728" s="3"/>
    </row>
    <row r="729" spans="1:7" ht="12.75">
      <c r="A729" s="3"/>
      <c r="B729" s="3"/>
      <c r="C729" s="8"/>
      <c r="D729" s="3"/>
      <c r="E729" s="3"/>
      <c r="F729" s="3"/>
      <c r="G729" s="3"/>
    </row>
    <row r="730" spans="1:7" ht="12.75">
      <c r="A730" s="3"/>
      <c r="B730" s="3"/>
      <c r="C730" s="8"/>
      <c r="D730" s="3"/>
      <c r="E730" s="3"/>
      <c r="F730" s="3"/>
      <c r="G730" s="3"/>
    </row>
    <row r="731" spans="1:7" ht="12.75">
      <c r="A731" s="3"/>
      <c r="B731" s="3"/>
      <c r="C731" s="8"/>
      <c r="D731" s="3"/>
      <c r="E731" s="3"/>
      <c r="F731" s="3"/>
      <c r="G731" s="3"/>
    </row>
    <row r="732" spans="1:7" ht="12.75">
      <c r="A732" s="3"/>
      <c r="B732" s="3"/>
      <c r="C732" s="8"/>
      <c r="D732" s="3"/>
      <c r="E732" s="3"/>
      <c r="F732" s="3"/>
      <c r="G732" s="3"/>
    </row>
    <row r="733" spans="1:7" ht="12.75">
      <c r="A733" s="3"/>
      <c r="B733" s="3"/>
      <c r="C733" s="8"/>
      <c r="D733" s="3"/>
      <c r="E733" s="3"/>
      <c r="F733" s="3"/>
      <c r="G733" s="3"/>
    </row>
    <row r="734" spans="1:7" ht="12.75">
      <c r="A734" s="3"/>
      <c r="B734" s="3"/>
      <c r="C734" s="8"/>
      <c r="D734" s="3"/>
      <c r="E734" s="3"/>
      <c r="F734" s="3"/>
      <c r="G734" s="3"/>
    </row>
    <row r="735" spans="1:7" ht="12.75">
      <c r="A735" s="3"/>
      <c r="B735" s="3"/>
      <c r="C735" s="8"/>
      <c r="D735" s="3"/>
      <c r="E735" s="3"/>
      <c r="F735" s="3"/>
      <c r="G735" s="3"/>
    </row>
    <row r="736" spans="1:7" ht="12.75">
      <c r="A736" s="3"/>
      <c r="B736" s="3"/>
      <c r="C736" s="8"/>
      <c r="D736" s="3"/>
      <c r="E736" s="3"/>
      <c r="F736" s="3"/>
      <c r="G736" s="3"/>
    </row>
    <row r="737" spans="1:7" ht="12.75">
      <c r="A737" s="3"/>
      <c r="B737" s="3"/>
      <c r="C737" s="8"/>
      <c r="D737" s="3"/>
      <c r="E737" s="3"/>
      <c r="F737" s="3"/>
      <c r="G737" s="3"/>
    </row>
    <row r="738" spans="1:7" ht="12.75">
      <c r="A738" s="3"/>
      <c r="B738" s="3"/>
      <c r="C738" s="8"/>
      <c r="D738" s="3"/>
      <c r="E738" s="3"/>
      <c r="F738" s="3"/>
      <c r="G738" s="3"/>
    </row>
    <row r="739" spans="1:7" ht="12.75">
      <c r="A739" s="3"/>
      <c r="B739" s="3"/>
      <c r="C739" s="8"/>
      <c r="D739" s="3"/>
      <c r="E739" s="3"/>
      <c r="F739" s="3"/>
      <c r="G739" s="3"/>
    </row>
    <row r="740" spans="1:7" ht="12.75">
      <c r="A740" s="3"/>
      <c r="B740" s="3"/>
      <c r="C740" s="8"/>
      <c r="D740" s="3"/>
      <c r="E740" s="3"/>
      <c r="F740" s="3"/>
      <c r="G740" s="3"/>
    </row>
    <row r="741" spans="1:7" ht="12.75">
      <c r="A741" s="3"/>
      <c r="B741" s="3"/>
      <c r="C741" s="8"/>
      <c r="D741" s="3"/>
      <c r="E741" s="3"/>
      <c r="F741" s="3"/>
      <c r="G741" s="3"/>
    </row>
    <row r="742" spans="1:7" ht="12.75">
      <c r="A742" s="3"/>
      <c r="B742" s="3"/>
      <c r="C742" s="8"/>
      <c r="D742" s="3"/>
      <c r="E742" s="3"/>
      <c r="F742" s="3"/>
      <c r="G742" s="3"/>
    </row>
    <row r="743" spans="1:7" ht="12.75">
      <c r="A743" s="3"/>
      <c r="B743" s="3"/>
      <c r="C743" s="8"/>
      <c r="D743" s="3"/>
      <c r="E743" s="3"/>
      <c r="F743" s="3"/>
      <c r="G743" s="3"/>
    </row>
    <row r="744" spans="1:7" ht="12.75">
      <c r="A744" s="3"/>
      <c r="B744" s="3"/>
      <c r="C744" s="8"/>
      <c r="D744" s="3"/>
      <c r="E744" s="3"/>
      <c r="F744" s="3"/>
      <c r="G744" s="3"/>
    </row>
    <row r="745" spans="1:7" ht="12.75">
      <c r="A745" s="3"/>
      <c r="B745" s="3"/>
      <c r="C745" s="8"/>
      <c r="D745" s="3"/>
      <c r="E745" s="3"/>
      <c r="F745" s="3"/>
      <c r="G745" s="3"/>
    </row>
    <row r="746" spans="1:7" ht="12.75">
      <c r="A746" s="3"/>
      <c r="B746" s="3"/>
      <c r="C746" s="8"/>
      <c r="D746" s="3"/>
      <c r="E746" s="3"/>
      <c r="F746" s="3"/>
      <c r="G746" s="3"/>
    </row>
    <row r="747" spans="1:7" ht="12.75">
      <c r="A747" s="3"/>
      <c r="B747" s="3"/>
      <c r="C747" s="8"/>
      <c r="D747" s="3"/>
      <c r="E747" s="3"/>
      <c r="F747" s="3"/>
      <c r="G747" s="3"/>
    </row>
    <row r="748" spans="1:7" ht="12.75">
      <c r="A748" s="3"/>
      <c r="B748" s="3"/>
      <c r="C748" s="8"/>
      <c r="D748" s="3"/>
      <c r="E748" s="3"/>
      <c r="F748" s="3"/>
      <c r="G748" s="3"/>
    </row>
    <row r="749" spans="1:7" ht="12.75">
      <c r="A749" s="3"/>
      <c r="B749" s="3"/>
      <c r="C749" s="8"/>
      <c r="D749" s="3"/>
      <c r="E749" s="3"/>
      <c r="F749" s="3"/>
      <c r="G749" s="3"/>
    </row>
    <row r="750" spans="1:7" ht="12.75">
      <c r="A750" s="3"/>
      <c r="B750" s="3"/>
      <c r="C750" s="8"/>
      <c r="D750" s="3"/>
      <c r="E750" s="3"/>
      <c r="F750" s="3"/>
      <c r="G750" s="3"/>
    </row>
    <row r="751" spans="1:7" ht="12.75">
      <c r="A751" s="3"/>
      <c r="B751" s="3"/>
      <c r="C751" s="8"/>
      <c r="D751" s="3"/>
      <c r="E751" s="3"/>
      <c r="F751" s="3"/>
      <c r="G751" s="3"/>
    </row>
    <row r="752" spans="1:7" ht="12.75">
      <c r="A752" s="3"/>
      <c r="B752" s="3"/>
      <c r="C752" s="8"/>
      <c r="D752" s="3"/>
      <c r="E752" s="3"/>
      <c r="F752" s="3"/>
      <c r="G752" s="3"/>
    </row>
    <row r="753" spans="1:7" ht="12.75">
      <c r="A753" s="3"/>
      <c r="B753" s="3"/>
      <c r="C753" s="8"/>
      <c r="D753" s="3"/>
      <c r="E753" s="3"/>
      <c r="F753" s="3"/>
      <c r="G753" s="3"/>
    </row>
    <row r="754" spans="1:7" ht="12.75">
      <c r="A754" s="3"/>
      <c r="B754" s="3"/>
      <c r="C754" s="8"/>
      <c r="D754" s="3"/>
      <c r="E754" s="3"/>
      <c r="F754" s="3"/>
      <c r="G754" s="3"/>
    </row>
    <row r="755" spans="1:7" ht="12.75">
      <c r="A755" s="3"/>
      <c r="B755" s="3"/>
      <c r="C755" s="8"/>
      <c r="D755" s="3"/>
      <c r="E755" s="3"/>
      <c r="F755" s="3"/>
      <c r="G755" s="3"/>
    </row>
    <row r="756" spans="1:7" ht="12.75">
      <c r="A756" s="3"/>
      <c r="B756" s="3"/>
      <c r="C756" s="8"/>
      <c r="D756" s="3"/>
      <c r="E756" s="3"/>
      <c r="F756" s="3"/>
      <c r="G756" s="3"/>
    </row>
    <row r="757" spans="1:7" ht="12.75">
      <c r="A757" s="3"/>
      <c r="B757" s="3"/>
      <c r="C757" s="8"/>
      <c r="D757" s="3"/>
      <c r="E757" s="3"/>
      <c r="F757" s="3"/>
      <c r="G757" s="3"/>
    </row>
    <row r="758" spans="1:7" ht="12.75">
      <c r="A758" s="3"/>
      <c r="B758" s="3"/>
      <c r="C758" s="8"/>
      <c r="D758" s="3"/>
      <c r="E758" s="3"/>
      <c r="F758" s="3"/>
      <c r="G758" s="3"/>
    </row>
    <row r="759" spans="1:7" ht="12.75">
      <c r="A759" s="3"/>
      <c r="B759" s="3"/>
      <c r="C759" s="8"/>
      <c r="D759" s="3"/>
      <c r="E759" s="3"/>
      <c r="F759" s="3"/>
      <c r="G759" s="3"/>
    </row>
    <row r="760" spans="1:7" ht="12.75">
      <c r="A760" s="3"/>
      <c r="B760" s="3"/>
      <c r="C760" s="8"/>
      <c r="D760" s="3"/>
      <c r="E760" s="3"/>
      <c r="F760" s="3"/>
      <c r="G760" s="3"/>
    </row>
    <row r="761" spans="1:7" ht="12.75">
      <c r="A761" s="3"/>
      <c r="B761" s="3"/>
      <c r="C761" s="8"/>
      <c r="D761" s="3"/>
      <c r="E761" s="3"/>
      <c r="F761" s="3"/>
      <c r="G761" s="3"/>
    </row>
    <row r="762" spans="1:7" ht="12.75">
      <c r="A762" s="3"/>
      <c r="B762" s="3"/>
      <c r="C762" s="8"/>
      <c r="D762" s="3"/>
      <c r="E762" s="3"/>
      <c r="F762" s="3"/>
      <c r="G762" s="3"/>
    </row>
    <row r="763" spans="1:7" ht="12.75">
      <c r="A763" s="3"/>
      <c r="B763" s="3"/>
      <c r="C763" s="8"/>
      <c r="D763" s="3"/>
      <c r="E763" s="3"/>
      <c r="F763" s="3"/>
      <c r="G763" s="3"/>
    </row>
    <row r="764" spans="1:7" ht="12.75">
      <c r="A764" s="3"/>
      <c r="B764" s="3"/>
      <c r="C764" s="8"/>
      <c r="D764" s="3"/>
      <c r="E764" s="3"/>
      <c r="F764" s="3"/>
      <c r="G764" s="3"/>
    </row>
    <row r="765" spans="1:7" ht="12.75">
      <c r="A765" s="3"/>
      <c r="B765" s="3"/>
      <c r="C765" s="8"/>
      <c r="D765" s="3"/>
      <c r="E765" s="3"/>
      <c r="F765" s="3"/>
      <c r="G765" s="3"/>
    </row>
    <row r="766" spans="1:7" ht="12.75">
      <c r="A766" s="3"/>
      <c r="B766" s="3"/>
      <c r="C766" s="8"/>
      <c r="D766" s="3"/>
      <c r="E766" s="3"/>
      <c r="F766" s="3"/>
      <c r="G766" s="3"/>
    </row>
    <row r="767" spans="1:7" ht="12.75">
      <c r="A767" s="3"/>
      <c r="B767" s="3"/>
      <c r="C767" s="8"/>
      <c r="D767" s="3"/>
      <c r="E767" s="3"/>
      <c r="F767" s="3"/>
      <c r="G767" s="3"/>
    </row>
    <row r="768" spans="1:7" ht="12.75">
      <c r="A768" s="3"/>
      <c r="B768" s="3"/>
      <c r="C768" s="8"/>
      <c r="D768" s="3"/>
      <c r="E768" s="3"/>
      <c r="F768" s="3"/>
      <c r="G768" s="3"/>
    </row>
    <row r="769" spans="1:7" ht="12.75">
      <c r="A769" s="3"/>
      <c r="B769" s="3"/>
      <c r="C769" s="8"/>
      <c r="D769" s="3"/>
      <c r="E769" s="3"/>
      <c r="F769" s="3"/>
      <c r="G769" s="3"/>
    </row>
    <row r="770" spans="1:7" ht="12.75">
      <c r="A770" s="3"/>
      <c r="B770" s="3"/>
      <c r="C770" s="8"/>
      <c r="D770" s="3"/>
      <c r="E770" s="3"/>
      <c r="F770" s="3"/>
      <c r="G770" s="3"/>
    </row>
    <row r="771" spans="1:7" ht="12.75">
      <c r="A771" s="3"/>
      <c r="B771" s="3"/>
      <c r="C771" s="8"/>
      <c r="D771" s="3"/>
      <c r="E771" s="3"/>
      <c r="F771" s="3"/>
      <c r="G771" s="3"/>
    </row>
    <row r="772" spans="1:7" ht="12.75">
      <c r="A772" s="3"/>
      <c r="B772" s="3"/>
      <c r="C772" s="8"/>
      <c r="D772" s="3"/>
      <c r="E772" s="3"/>
      <c r="F772" s="3"/>
      <c r="G772" s="3"/>
    </row>
    <row r="773" spans="1:7" ht="12.75">
      <c r="A773" s="3"/>
      <c r="B773" s="3"/>
      <c r="C773" s="8"/>
      <c r="D773" s="3"/>
      <c r="E773" s="3"/>
      <c r="F773" s="3"/>
      <c r="G773" s="3"/>
    </row>
    <row r="774" spans="1:7" ht="12.75">
      <c r="A774" s="3"/>
      <c r="B774" s="3"/>
      <c r="C774" s="8"/>
      <c r="D774" s="3"/>
      <c r="E774" s="3"/>
      <c r="F774" s="3"/>
      <c r="G774" s="3"/>
    </row>
    <row r="775" spans="1:7" ht="12.75">
      <c r="A775" s="3"/>
      <c r="B775" s="3"/>
      <c r="C775" s="8"/>
      <c r="D775" s="3"/>
      <c r="E775" s="3"/>
      <c r="F775" s="3"/>
      <c r="G775" s="3"/>
    </row>
    <row r="776" spans="1:7" ht="12.75">
      <c r="A776" s="3"/>
      <c r="B776" s="3"/>
      <c r="C776" s="8"/>
      <c r="D776" s="3"/>
      <c r="E776" s="3"/>
      <c r="F776" s="3"/>
      <c r="G776" s="3"/>
    </row>
    <row r="777" spans="1:7" ht="12.75">
      <c r="A777" s="3"/>
      <c r="B777" s="3"/>
      <c r="C777" s="8"/>
      <c r="D777" s="3"/>
      <c r="E777" s="3"/>
      <c r="F777" s="3"/>
      <c r="G777" s="3"/>
    </row>
    <row r="778" spans="1:7" ht="12.75">
      <c r="A778" s="3"/>
      <c r="B778" s="3"/>
      <c r="C778" s="8"/>
      <c r="D778" s="3"/>
      <c r="E778" s="3"/>
      <c r="F778" s="3"/>
      <c r="G778" s="3"/>
    </row>
    <row r="779" spans="1:7" ht="12.75">
      <c r="A779" s="3"/>
      <c r="B779" s="3"/>
      <c r="C779" s="8"/>
      <c r="D779" s="3"/>
      <c r="E779" s="3"/>
      <c r="F779" s="3"/>
      <c r="G779" s="3"/>
    </row>
    <row r="780" spans="1:7" ht="12.75">
      <c r="A780" s="3"/>
      <c r="B780" s="3"/>
      <c r="C780" s="8"/>
      <c r="D780" s="3"/>
      <c r="E780" s="3"/>
      <c r="F780" s="3"/>
      <c r="G780" s="3"/>
    </row>
    <row r="781" spans="1:7" ht="12.75">
      <c r="A781" s="3"/>
      <c r="B781" s="3"/>
      <c r="C781" s="8"/>
      <c r="D781" s="3"/>
      <c r="E781" s="3"/>
      <c r="F781" s="3"/>
      <c r="G781" s="3"/>
    </row>
    <row r="782" spans="1:7" ht="12.75">
      <c r="A782" s="3"/>
      <c r="B782" s="3"/>
      <c r="C782" s="8"/>
      <c r="D782" s="3"/>
      <c r="E782" s="3"/>
      <c r="F782" s="3"/>
      <c r="G782" s="3"/>
    </row>
    <row r="783" spans="1:7" ht="12.75">
      <c r="A783" s="3"/>
      <c r="B783" s="3"/>
      <c r="C783" s="8"/>
      <c r="D783" s="3"/>
      <c r="E783" s="3"/>
      <c r="F783" s="3"/>
      <c r="G783" s="3"/>
    </row>
    <row r="784" spans="1:7" ht="12.75">
      <c r="A784" s="3"/>
      <c r="B784" s="3"/>
      <c r="C784" s="8"/>
      <c r="D784" s="3"/>
      <c r="E784" s="3"/>
      <c r="F784" s="3"/>
      <c r="G784" s="3"/>
    </row>
    <row r="785" spans="1:7" ht="12.75">
      <c r="A785" s="3"/>
      <c r="B785" s="3"/>
      <c r="C785" s="8"/>
      <c r="D785" s="3"/>
      <c r="E785" s="3"/>
      <c r="F785" s="3"/>
      <c r="G785" s="3"/>
    </row>
    <row r="786" spans="1:7" ht="12.75">
      <c r="A786" s="3"/>
      <c r="B786" s="3"/>
      <c r="C786" s="8"/>
      <c r="D786" s="3"/>
      <c r="E786" s="3"/>
      <c r="F786" s="3"/>
      <c r="G786" s="3"/>
    </row>
    <row r="787" spans="1:7" ht="12.75">
      <c r="A787" s="3"/>
      <c r="B787" s="3"/>
      <c r="C787" s="8"/>
      <c r="D787" s="3"/>
      <c r="E787" s="3"/>
      <c r="F787" s="3"/>
      <c r="G787" s="3"/>
    </row>
    <row r="788" spans="1:7" ht="12.75">
      <c r="A788" s="3"/>
      <c r="B788" s="3"/>
      <c r="C788" s="8"/>
      <c r="D788" s="3"/>
      <c r="E788" s="3"/>
      <c r="F788" s="3"/>
      <c r="G788" s="3"/>
    </row>
    <row r="789" spans="1:7" ht="12.75">
      <c r="A789" s="3"/>
      <c r="B789" s="3"/>
      <c r="C789" s="8"/>
      <c r="D789" s="3"/>
      <c r="E789" s="3"/>
      <c r="F789" s="3"/>
      <c r="G789" s="3"/>
    </row>
    <row r="790" spans="1:7" ht="12.75">
      <c r="A790" s="3"/>
      <c r="B790" s="3"/>
      <c r="C790" s="8"/>
      <c r="D790" s="3"/>
      <c r="E790" s="3"/>
      <c r="F790" s="3"/>
      <c r="G790" s="3"/>
    </row>
    <row r="791" spans="1:7" ht="12.75">
      <c r="A791" s="3"/>
      <c r="B791" s="3"/>
      <c r="C791" s="8"/>
      <c r="D791" s="3"/>
      <c r="E791" s="3"/>
      <c r="F791" s="3"/>
      <c r="G791" s="3"/>
    </row>
    <row r="792" spans="1:7" ht="12.75">
      <c r="A792" s="3"/>
      <c r="B792" s="3"/>
      <c r="C792" s="8"/>
      <c r="D792" s="3"/>
      <c r="E792" s="3"/>
      <c r="F792" s="3"/>
      <c r="G792" s="3"/>
    </row>
    <row r="793" spans="1:7" ht="12.75">
      <c r="A793" s="3"/>
      <c r="B793" s="3"/>
      <c r="C793" s="8"/>
      <c r="D793" s="3"/>
      <c r="E793" s="3"/>
      <c r="F793" s="3"/>
      <c r="G793" s="3"/>
    </row>
    <row r="794" spans="1:7" ht="12.75">
      <c r="A794" s="3"/>
      <c r="B794" s="3"/>
      <c r="C794" s="8"/>
      <c r="D794" s="3"/>
      <c r="E794" s="3"/>
      <c r="F794" s="3"/>
      <c r="G794" s="3"/>
    </row>
    <row r="795" spans="1:7" ht="12.75">
      <c r="A795" s="3"/>
      <c r="B795" s="3"/>
      <c r="C795" s="8"/>
      <c r="D795" s="3"/>
      <c r="E795" s="3"/>
      <c r="F795" s="3"/>
      <c r="G795" s="3"/>
    </row>
    <row r="796" spans="1:7" ht="12.75">
      <c r="A796" s="3"/>
      <c r="B796" s="3"/>
      <c r="C796" s="8"/>
      <c r="D796" s="3"/>
      <c r="E796" s="3"/>
      <c r="F796" s="3"/>
      <c r="G796" s="3"/>
    </row>
    <row r="797" spans="1:7" ht="12.75">
      <c r="A797" s="3"/>
      <c r="B797" s="3"/>
      <c r="C797" s="8"/>
      <c r="D797" s="3"/>
      <c r="E797" s="3"/>
      <c r="F797" s="3"/>
      <c r="G797" s="3"/>
    </row>
    <row r="798" spans="1:7" ht="12.75">
      <c r="A798" s="3"/>
      <c r="B798" s="3"/>
      <c r="C798" s="8"/>
      <c r="D798" s="3"/>
      <c r="E798" s="3"/>
      <c r="F798" s="3"/>
      <c r="G798" s="3"/>
    </row>
    <row r="799" spans="1:7" ht="12.75">
      <c r="A799" s="3"/>
      <c r="B799" s="3"/>
      <c r="C799" s="8"/>
      <c r="D799" s="3"/>
      <c r="E799" s="3"/>
      <c r="F799" s="3"/>
      <c r="G799" s="3"/>
    </row>
    <row r="800" spans="1:7" ht="12.75">
      <c r="A800" s="3"/>
      <c r="B800" s="3"/>
      <c r="C800" s="8"/>
      <c r="D800" s="3"/>
      <c r="E800" s="3"/>
      <c r="F800" s="3"/>
      <c r="G800" s="3"/>
    </row>
    <row r="801" spans="1:7" ht="12.75">
      <c r="A801" s="3"/>
      <c r="B801" s="3"/>
      <c r="C801" s="8"/>
      <c r="D801" s="3"/>
      <c r="E801" s="3"/>
      <c r="F801" s="3"/>
      <c r="G801" s="3"/>
    </row>
    <row r="802" spans="1:7" ht="12.75">
      <c r="A802" s="3"/>
      <c r="B802" s="3"/>
      <c r="C802" s="8"/>
      <c r="D802" s="3"/>
      <c r="E802" s="3"/>
      <c r="F802" s="3"/>
      <c r="G802" s="3"/>
    </row>
    <row r="803" spans="1:7" ht="12.75">
      <c r="A803" s="3"/>
      <c r="B803" s="3"/>
      <c r="C803" s="8"/>
      <c r="D803" s="3"/>
      <c r="E803" s="3"/>
      <c r="F803" s="3"/>
      <c r="G803" s="3"/>
    </row>
    <row r="804" spans="1:7" ht="12.75">
      <c r="A804" s="3"/>
      <c r="B804" s="3"/>
      <c r="C804" s="8"/>
      <c r="D804" s="3"/>
      <c r="E804" s="3"/>
      <c r="F804" s="3"/>
      <c r="G804" s="3"/>
    </row>
    <row r="805" spans="1:7" ht="12.75">
      <c r="A805" s="3"/>
      <c r="B805" s="3"/>
      <c r="C805" s="8"/>
      <c r="D805" s="3"/>
      <c r="E805" s="3"/>
      <c r="F805" s="3"/>
      <c r="G805" s="3"/>
    </row>
    <row r="806" spans="1:7" ht="12.75">
      <c r="A806" s="3"/>
      <c r="B806" s="3"/>
      <c r="C806" s="8"/>
      <c r="D806" s="3"/>
      <c r="E806" s="3"/>
      <c r="F806" s="3"/>
      <c r="G806" s="3"/>
    </row>
    <row r="807" spans="1:7" ht="12.75">
      <c r="A807" s="3"/>
      <c r="B807" s="3"/>
      <c r="C807" s="8"/>
      <c r="D807" s="3"/>
      <c r="E807" s="3"/>
      <c r="F807" s="3"/>
      <c r="G807" s="3"/>
    </row>
    <row r="808" spans="1:7" ht="12.75">
      <c r="A808" s="3"/>
      <c r="B808" s="3"/>
      <c r="C808" s="8"/>
      <c r="D808" s="3"/>
      <c r="E808" s="3"/>
      <c r="F808" s="3"/>
      <c r="G808" s="3"/>
    </row>
    <row r="809" spans="1:7" ht="12.75">
      <c r="A809" s="3"/>
      <c r="B809" s="3"/>
      <c r="C809" s="8"/>
      <c r="D809" s="3"/>
      <c r="E809" s="3"/>
      <c r="F809" s="3"/>
      <c r="G809" s="3"/>
    </row>
    <row r="810" spans="1:7" ht="12.75">
      <c r="A810" s="3"/>
      <c r="B810" s="3"/>
      <c r="C810" s="8"/>
      <c r="D810" s="3"/>
      <c r="E810" s="3"/>
      <c r="F810" s="3"/>
      <c r="G810" s="3"/>
    </row>
    <row r="811" spans="1:7" ht="12.75">
      <c r="A811" s="3"/>
      <c r="B811" s="3"/>
      <c r="C811" s="8"/>
      <c r="D811" s="3"/>
      <c r="E811" s="3"/>
      <c r="F811" s="3"/>
      <c r="G811" s="3"/>
    </row>
    <row r="812" spans="1:7" ht="12.75">
      <c r="A812" s="3"/>
      <c r="B812" s="3"/>
      <c r="C812" s="8"/>
      <c r="D812" s="3"/>
      <c r="E812" s="3"/>
      <c r="F812" s="3"/>
      <c r="G812" s="3"/>
    </row>
    <row r="813" spans="1:7" ht="12.75">
      <c r="A813" s="3"/>
      <c r="B813" s="3"/>
      <c r="C813" s="8"/>
      <c r="D813" s="3"/>
      <c r="E813" s="3"/>
      <c r="F813" s="3"/>
      <c r="G813" s="3"/>
    </row>
    <row r="814" spans="1:7" ht="12.75">
      <c r="A814" s="3"/>
      <c r="B814" s="3"/>
      <c r="C814" s="8"/>
      <c r="D814" s="3"/>
      <c r="E814" s="3"/>
      <c r="F814" s="3"/>
      <c r="G814" s="3"/>
    </row>
    <row r="815" spans="1:7" ht="12.75">
      <c r="A815" s="3"/>
      <c r="B815" s="3"/>
      <c r="C815" s="8"/>
      <c r="D815" s="3"/>
      <c r="E815" s="3"/>
      <c r="F815" s="3"/>
      <c r="G815" s="3"/>
    </row>
    <row r="816" spans="1:7" ht="12.75">
      <c r="A816" s="3"/>
      <c r="B816" s="3"/>
      <c r="C816" s="8"/>
      <c r="D816" s="3"/>
      <c r="E816" s="3"/>
      <c r="F816" s="3"/>
      <c r="G816" s="3"/>
    </row>
    <row r="817" spans="1:7" ht="12.75">
      <c r="A817" s="3"/>
      <c r="B817" s="3"/>
      <c r="C817" s="8"/>
      <c r="D817" s="3"/>
      <c r="E817" s="3"/>
      <c r="F817" s="3"/>
      <c r="G817" s="3"/>
    </row>
    <row r="818" spans="1:7" ht="12.75">
      <c r="A818" s="3"/>
      <c r="B818" s="3"/>
      <c r="C818" s="8"/>
      <c r="D818" s="3"/>
      <c r="E818" s="3"/>
      <c r="F818" s="3"/>
      <c r="G818" s="3"/>
    </row>
    <row r="819" spans="1:7" ht="12.75">
      <c r="A819" s="3"/>
      <c r="B819" s="3"/>
      <c r="C819" s="8"/>
      <c r="D819" s="3"/>
      <c r="E819" s="3"/>
      <c r="F819" s="3"/>
      <c r="G819" s="3"/>
    </row>
    <row r="820" spans="1:7" ht="12.75">
      <c r="A820" s="3"/>
      <c r="B820" s="3"/>
      <c r="C820" s="8"/>
      <c r="D820" s="3"/>
      <c r="E820" s="3"/>
      <c r="F820" s="3"/>
      <c r="G820" s="3"/>
    </row>
    <row r="821" spans="1:7" ht="12.75">
      <c r="A821" s="3"/>
      <c r="B821" s="3"/>
      <c r="C821" s="8"/>
      <c r="D821" s="3"/>
      <c r="E821" s="3"/>
      <c r="F821" s="3"/>
      <c r="G821" s="3"/>
    </row>
    <row r="822" spans="1:7" ht="12.75">
      <c r="A822" s="3"/>
      <c r="B822" s="3"/>
      <c r="C822" s="8"/>
      <c r="D822" s="3"/>
      <c r="E822" s="3"/>
      <c r="F822" s="3"/>
      <c r="G822" s="3"/>
    </row>
    <row r="823" spans="1:7" ht="12.75">
      <c r="A823" s="3"/>
      <c r="B823" s="3"/>
      <c r="C823" s="8"/>
      <c r="D823" s="3"/>
      <c r="E823" s="3"/>
      <c r="F823" s="3"/>
      <c r="G823" s="3"/>
    </row>
    <row r="824" spans="1:7" ht="12.75">
      <c r="A824" s="3"/>
      <c r="B824" s="3"/>
      <c r="C824" s="8"/>
      <c r="D824" s="3"/>
      <c r="E824" s="3"/>
      <c r="F824" s="3"/>
      <c r="G824" s="3"/>
    </row>
    <row r="825" spans="1:7" ht="12.75">
      <c r="A825" s="3"/>
      <c r="B825" s="3"/>
      <c r="C825" s="8"/>
      <c r="D825" s="3"/>
      <c r="E825" s="3"/>
      <c r="F825" s="3"/>
      <c r="G825" s="3"/>
    </row>
    <row r="826" spans="1:7" ht="12.75">
      <c r="A826" s="3"/>
      <c r="B826" s="3"/>
      <c r="C826" s="8"/>
      <c r="D826" s="3"/>
      <c r="E826" s="3"/>
      <c r="F826" s="3"/>
      <c r="G826" s="3"/>
    </row>
    <row r="827" spans="1:7" ht="12.75">
      <c r="A827" s="3"/>
      <c r="B827" s="3"/>
      <c r="C827" s="8"/>
      <c r="D827" s="3"/>
      <c r="E827" s="3"/>
      <c r="F827" s="3"/>
      <c r="G827" s="3"/>
    </row>
    <row r="828" spans="1:7" ht="12.75">
      <c r="A828" s="3"/>
      <c r="B828" s="3"/>
      <c r="C828" s="8"/>
      <c r="D828" s="3"/>
      <c r="E828" s="3"/>
      <c r="F828" s="3"/>
      <c r="G828" s="3"/>
    </row>
    <row r="829" spans="1:7" ht="12.75">
      <c r="A829" s="3"/>
      <c r="B829" s="3"/>
      <c r="C829" s="8"/>
      <c r="D829" s="3"/>
      <c r="E829" s="3"/>
      <c r="F829" s="3"/>
      <c r="G829" s="3"/>
    </row>
    <row r="830" spans="1:7" ht="12.75">
      <c r="A830" s="3"/>
      <c r="B830" s="3"/>
      <c r="C830" s="8"/>
      <c r="D830" s="3"/>
      <c r="E830" s="3"/>
      <c r="F830" s="3"/>
      <c r="G830" s="3"/>
    </row>
    <row r="831" spans="1:7" ht="12.75">
      <c r="A831" s="3"/>
      <c r="B831" s="3"/>
      <c r="C831" s="8"/>
      <c r="D831" s="3"/>
      <c r="E831" s="3"/>
      <c r="F831" s="3"/>
      <c r="G831" s="3"/>
    </row>
    <row r="832" spans="1:7" ht="12.75">
      <c r="A832" s="3"/>
      <c r="B832" s="3"/>
      <c r="C832" s="8"/>
      <c r="D832" s="3"/>
      <c r="E832" s="3"/>
      <c r="F832" s="3"/>
      <c r="G832" s="3"/>
    </row>
    <row r="833" spans="1:7" ht="12.75">
      <c r="A833" s="3"/>
      <c r="B833" s="3"/>
      <c r="C833" s="8"/>
      <c r="D833" s="3"/>
      <c r="E833" s="3"/>
      <c r="F833" s="3"/>
      <c r="G833" s="3"/>
    </row>
    <row r="834" spans="1:7" ht="12.75">
      <c r="A834" s="3"/>
      <c r="B834" s="3"/>
      <c r="C834" s="8"/>
      <c r="D834" s="3"/>
      <c r="E834" s="3"/>
      <c r="F834" s="3"/>
      <c r="G834" s="3"/>
    </row>
    <row r="835" spans="1:7" ht="12.75">
      <c r="A835" s="3"/>
      <c r="B835" s="3"/>
      <c r="C835" s="8"/>
      <c r="D835" s="3"/>
      <c r="E835" s="3"/>
      <c r="F835" s="3"/>
      <c r="G835" s="3"/>
    </row>
    <row r="836" spans="1:7" ht="12.75">
      <c r="A836" s="3"/>
      <c r="B836" s="3"/>
      <c r="C836" s="8"/>
      <c r="D836" s="3"/>
      <c r="E836" s="3"/>
      <c r="F836" s="3"/>
      <c r="G836" s="3"/>
    </row>
    <row r="837" spans="1:7" ht="12.75">
      <c r="A837" s="3"/>
      <c r="B837" s="3"/>
      <c r="C837" s="8"/>
      <c r="D837" s="3"/>
      <c r="E837" s="3"/>
      <c r="F837" s="3"/>
      <c r="G837" s="3"/>
    </row>
    <row r="838" spans="1:7" ht="12.75">
      <c r="A838" s="3"/>
      <c r="B838" s="3"/>
      <c r="C838" s="8"/>
      <c r="D838" s="3"/>
      <c r="E838" s="3"/>
      <c r="F838" s="3"/>
      <c r="G838" s="3"/>
    </row>
    <row r="839" spans="1:7" ht="12.75">
      <c r="A839" s="3"/>
      <c r="B839" s="3"/>
      <c r="C839" s="8"/>
      <c r="D839" s="3"/>
      <c r="E839" s="3"/>
      <c r="F839" s="3"/>
      <c r="G839" s="3"/>
    </row>
    <row r="840" spans="1:7" ht="12.75">
      <c r="A840" s="3"/>
      <c r="B840" s="3"/>
      <c r="C840" s="8"/>
      <c r="D840" s="3"/>
      <c r="E840" s="3"/>
      <c r="F840" s="3"/>
      <c r="G840" s="3"/>
    </row>
    <row r="841" spans="1:7" ht="12.75">
      <c r="A841" s="3"/>
      <c r="B841" s="3"/>
      <c r="C841" s="8"/>
      <c r="D841" s="3"/>
      <c r="E841" s="3"/>
      <c r="F841" s="3"/>
      <c r="G841" s="3"/>
    </row>
    <row r="842" spans="1:7" ht="12.75">
      <c r="A842" s="3"/>
      <c r="B842" s="3"/>
      <c r="C842" s="8"/>
      <c r="D842" s="3"/>
      <c r="E842" s="3"/>
      <c r="F842" s="3"/>
      <c r="G842" s="3"/>
    </row>
    <row r="843" spans="1:7" ht="12.75">
      <c r="A843" s="3"/>
      <c r="B843" s="3"/>
      <c r="C843" s="8"/>
      <c r="D843" s="3"/>
      <c r="E843" s="3"/>
      <c r="F843" s="3"/>
      <c r="G843" s="3"/>
    </row>
    <row r="844" spans="1:7" ht="12.75">
      <c r="A844" s="3"/>
      <c r="B844" s="3"/>
      <c r="C844" s="8"/>
      <c r="D844" s="3"/>
      <c r="E844" s="3"/>
      <c r="F844" s="3"/>
      <c r="G844" s="3"/>
    </row>
    <row r="845" spans="1:7" ht="12.75">
      <c r="A845" s="3"/>
      <c r="B845" s="3"/>
      <c r="C845" s="8"/>
      <c r="D845" s="3"/>
      <c r="E845" s="3"/>
      <c r="F845" s="3"/>
      <c r="G845" s="3"/>
    </row>
    <row r="846" spans="1:7" ht="12.75">
      <c r="A846" s="3"/>
      <c r="B846" s="3"/>
      <c r="C846" s="8"/>
      <c r="D846" s="3"/>
      <c r="E846" s="3"/>
      <c r="F846" s="3"/>
      <c r="G846" s="3"/>
    </row>
    <row r="847" spans="1:7" ht="12.75">
      <c r="A847" s="3"/>
      <c r="B847" s="3"/>
      <c r="C847" s="8"/>
      <c r="D847" s="3"/>
      <c r="E847" s="3"/>
      <c r="F847" s="3"/>
      <c r="G847" s="3"/>
    </row>
    <row r="848" spans="1:7" ht="12.75">
      <c r="A848" s="3"/>
      <c r="B848" s="3"/>
      <c r="C848" s="8"/>
      <c r="D848" s="3"/>
      <c r="E848" s="3"/>
      <c r="F848" s="3"/>
      <c r="G848" s="3"/>
    </row>
    <row r="849" spans="1:7" ht="12.75">
      <c r="A849" s="3"/>
      <c r="B849" s="3"/>
      <c r="C849" s="8"/>
      <c r="D849" s="3"/>
      <c r="E849" s="3"/>
      <c r="F849" s="3"/>
      <c r="G849" s="3"/>
    </row>
    <row r="850" spans="1:7" ht="12.75">
      <c r="A850" s="3"/>
      <c r="B850" s="3"/>
      <c r="C850" s="8"/>
      <c r="D850" s="3"/>
      <c r="E850" s="3"/>
      <c r="F850" s="3"/>
      <c r="G850" s="3"/>
    </row>
    <row r="851" spans="1:7" ht="12.75">
      <c r="A851" s="3"/>
      <c r="B851" s="3"/>
      <c r="C851" s="8"/>
      <c r="D851" s="3"/>
      <c r="E851" s="3"/>
      <c r="F851" s="3"/>
      <c r="G851" s="3"/>
    </row>
    <row r="852" spans="1:7" ht="12.75">
      <c r="A852" s="3"/>
      <c r="B852" s="3"/>
      <c r="C852" s="8"/>
      <c r="D852" s="3"/>
      <c r="E852" s="3"/>
      <c r="F852" s="3"/>
      <c r="G852" s="3"/>
    </row>
    <row r="853" spans="1:7" ht="12.75">
      <c r="A853" s="3"/>
      <c r="B853" s="3"/>
      <c r="C853" s="8"/>
      <c r="D853" s="3"/>
      <c r="E853" s="3"/>
      <c r="F853" s="3"/>
      <c r="G853" s="3"/>
    </row>
    <row r="854" spans="1:7" ht="12.75">
      <c r="A854" s="3"/>
      <c r="B854" s="3"/>
      <c r="C854" s="8"/>
      <c r="D854" s="3"/>
      <c r="E854" s="3"/>
      <c r="F854" s="3"/>
      <c r="G854" s="3"/>
    </row>
    <row r="855" spans="1:7" ht="12.75">
      <c r="A855" s="3"/>
      <c r="B855" s="3"/>
      <c r="C855" s="8"/>
      <c r="D855" s="3"/>
      <c r="E855" s="3"/>
      <c r="F855" s="3"/>
      <c r="G855" s="3"/>
    </row>
    <row r="856" spans="1:7" ht="12.75">
      <c r="A856" s="3"/>
      <c r="B856" s="3"/>
      <c r="C856" s="8"/>
      <c r="D856" s="3"/>
      <c r="E856" s="3"/>
      <c r="F856" s="3"/>
      <c r="G856" s="3"/>
    </row>
    <row r="857" spans="1:7" ht="12.75">
      <c r="A857" s="3"/>
      <c r="B857" s="3"/>
      <c r="C857" s="8"/>
      <c r="D857" s="3"/>
      <c r="E857" s="3"/>
      <c r="F857" s="3"/>
      <c r="G857" s="3"/>
    </row>
    <row r="858" spans="1:7" ht="12.75">
      <c r="A858" s="3"/>
      <c r="B858" s="3"/>
      <c r="C858" s="8"/>
      <c r="D858" s="3"/>
      <c r="E858" s="3"/>
      <c r="F858" s="3"/>
      <c r="G858" s="3"/>
    </row>
    <row r="859" spans="1:7" ht="12.75">
      <c r="A859" s="3"/>
      <c r="B859" s="3"/>
      <c r="C859" s="8"/>
      <c r="D859" s="3"/>
      <c r="E859" s="3"/>
      <c r="F859" s="3"/>
      <c r="G859" s="3"/>
    </row>
    <row r="860" spans="1:7" ht="12.75">
      <c r="A860" s="3"/>
      <c r="B860" s="3"/>
      <c r="C860" s="8"/>
      <c r="D860" s="3"/>
      <c r="E860" s="3"/>
      <c r="F860" s="3"/>
      <c r="G860" s="3"/>
    </row>
    <row r="861" spans="1:7" ht="12.75">
      <c r="A861" s="3"/>
      <c r="B861" s="3"/>
      <c r="C861" s="8"/>
      <c r="D861" s="3"/>
      <c r="E861" s="3"/>
      <c r="F861" s="3"/>
      <c r="G861" s="3"/>
    </row>
    <row r="862" spans="1:7" ht="12.75">
      <c r="A862" s="3"/>
      <c r="B862" s="3"/>
      <c r="C862" s="8"/>
      <c r="D862" s="3"/>
      <c r="E862" s="3"/>
      <c r="F862" s="3"/>
      <c r="G862" s="3"/>
    </row>
    <row r="863" spans="1:7" ht="12.75">
      <c r="A863" s="3"/>
      <c r="B863" s="3"/>
      <c r="C863" s="8"/>
      <c r="D863" s="3"/>
      <c r="E863" s="3"/>
      <c r="F863" s="3"/>
      <c r="G863" s="3"/>
    </row>
    <row r="864" spans="1:7" ht="12.75">
      <c r="A864" s="3"/>
      <c r="B864" s="3"/>
      <c r="C864" s="8"/>
      <c r="D864" s="3"/>
      <c r="E864" s="3"/>
      <c r="F864" s="3"/>
      <c r="G864" s="3"/>
    </row>
    <row r="865" spans="1:7" ht="12.75">
      <c r="A865" s="3"/>
      <c r="B865" s="3"/>
      <c r="C865" s="8"/>
      <c r="D865" s="3"/>
      <c r="E865" s="3"/>
      <c r="F865" s="3"/>
      <c r="G865" s="3"/>
    </row>
    <row r="866" spans="1:7" ht="12.75">
      <c r="A866" s="3"/>
      <c r="B866" s="3"/>
      <c r="C866" s="8"/>
      <c r="D866" s="3"/>
      <c r="E866" s="3"/>
      <c r="F866" s="3"/>
      <c r="G866" s="3"/>
    </row>
    <row r="867" spans="1:7" ht="12.75">
      <c r="A867" s="3"/>
      <c r="B867" s="3"/>
      <c r="C867" s="8"/>
      <c r="D867" s="3"/>
      <c r="E867" s="3"/>
      <c r="F867" s="3"/>
      <c r="G867" s="3"/>
    </row>
    <row r="868" spans="1:7" ht="12.75">
      <c r="A868" s="3"/>
      <c r="B868" s="3"/>
      <c r="C868" s="8"/>
      <c r="D868" s="3"/>
      <c r="E868" s="3"/>
      <c r="F868" s="3"/>
      <c r="G868" s="3"/>
    </row>
    <row r="869" spans="1:7" ht="12.75">
      <c r="A869" s="3"/>
      <c r="B869" s="3"/>
      <c r="C869" s="8"/>
      <c r="D869" s="3"/>
      <c r="E869" s="3"/>
      <c r="F869" s="3"/>
      <c r="G869" s="3"/>
    </row>
    <row r="870" spans="1:7" ht="12.75">
      <c r="A870" s="3"/>
      <c r="B870" s="3"/>
      <c r="C870" s="8"/>
      <c r="D870" s="3"/>
      <c r="E870" s="3"/>
      <c r="F870" s="3"/>
      <c r="G870" s="3"/>
    </row>
    <row r="871" spans="1:7" ht="12.75">
      <c r="A871" s="3"/>
      <c r="B871" s="3"/>
      <c r="C871" s="8"/>
      <c r="D871" s="3"/>
      <c r="E871" s="3"/>
      <c r="F871" s="3"/>
      <c r="G871" s="3"/>
    </row>
    <row r="872" spans="1:7" ht="12.75">
      <c r="A872" s="3"/>
      <c r="B872" s="3"/>
      <c r="C872" s="8"/>
      <c r="D872" s="3"/>
      <c r="E872" s="3"/>
      <c r="F872" s="3"/>
      <c r="G872" s="3"/>
    </row>
    <row r="873" spans="1:7" ht="12.75">
      <c r="A873" s="3"/>
      <c r="B873" s="3"/>
      <c r="C873" s="8"/>
      <c r="D873" s="3"/>
      <c r="E873" s="3"/>
      <c r="F873" s="3"/>
      <c r="G873" s="3"/>
    </row>
    <row r="874" spans="1:7" ht="12.75">
      <c r="A874" s="3"/>
      <c r="B874" s="3"/>
      <c r="C874" s="8"/>
      <c r="D874" s="3"/>
      <c r="E874" s="3"/>
      <c r="F874" s="3"/>
      <c r="G874" s="3"/>
    </row>
    <row r="875" spans="1:7" ht="12.75">
      <c r="A875" s="3"/>
      <c r="B875" s="3"/>
      <c r="C875" s="8"/>
      <c r="D875" s="3"/>
      <c r="E875" s="3"/>
      <c r="F875" s="3"/>
      <c r="G875" s="3"/>
    </row>
    <row r="876" spans="1:7" ht="12.75">
      <c r="A876" s="3"/>
      <c r="B876" s="3"/>
      <c r="C876" s="8"/>
      <c r="D876" s="3"/>
      <c r="E876" s="3"/>
      <c r="F876" s="3"/>
      <c r="G876" s="3"/>
    </row>
    <row r="877" spans="1:7" ht="12.75">
      <c r="A877" s="3"/>
      <c r="B877" s="3"/>
      <c r="C877" s="8"/>
      <c r="D877" s="3"/>
      <c r="E877" s="3"/>
      <c r="F877" s="3"/>
      <c r="G877" s="3"/>
    </row>
    <row r="878" spans="1:7" ht="12.75">
      <c r="A878" s="3"/>
      <c r="B878" s="3"/>
      <c r="C878" s="8"/>
      <c r="D878" s="3"/>
      <c r="E878" s="3"/>
      <c r="F878" s="3"/>
      <c r="G878" s="3"/>
    </row>
    <row r="879" spans="1:7" ht="12.75">
      <c r="A879" s="3"/>
      <c r="B879" s="3"/>
      <c r="C879" s="8"/>
      <c r="D879" s="3"/>
      <c r="E879" s="3"/>
      <c r="F879" s="3"/>
      <c r="G879" s="3"/>
    </row>
    <row r="880" spans="1:7" ht="12.75">
      <c r="A880" s="3"/>
      <c r="B880" s="3"/>
      <c r="C880" s="8"/>
      <c r="D880" s="3"/>
      <c r="E880" s="3"/>
      <c r="F880" s="3"/>
      <c r="G880" s="3"/>
    </row>
    <row r="881" spans="1:7" ht="12.75">
      <c r="A881" s="3"/>
      <c r="B881" s="3"/>
      <c r="C881" s="8"/>
      <c r="D881" s="3"/>
      <c r="E881" s="3"/>
      <c r="F881" s="3"/>
      <c r="G881" s="3"/>
    </row>
    <row r="882" spans="1:7" ht="12.75">
      <c r="A882" s="3"/>
      <c r="B882" s="3"/>
      <c r="C882" s="8"/>
      <c r="D882" s="3"/>
      <c r="E882" s="3"/>
      <c r="F882" s="3"/>
      <c r="G882" s="3"/>
    </row>
    <row r="883" spans="1:7" ht="12.75">
      <c r="A883" s="3"/>
      <c r="B883" s="3"/>
      <c r="C883" s="8"/>
      <c r="D883" s="3"/>
      <c r="E883" s="3"/>
      <c r="F883" s="3"/>
      <c r="G883" s="3"/>
    </row>
    <row r="884" spans="1:7" ht="12.75">
      <c r="A884" s="3"/>
      <c r="B884" s="3"/>
      <c r="C884" s="8"/>
      <c r="D884" s="3"/>
      <c r="E884" s="3"/>
      <c r="F884" s="3"/>
      <c r="G884" s="3"/>
    </row>
    <row r="885" spans="1:7" ht="12.75">
      <c r="A885" s="3"/>
      <c r="B885" s="3"/>
      <c r="C885" s="8"/>
      <c r="D885" s="3"/>
      <c r="E885" s="3"/>
      <c r="F885" s="3"/>
      <c r="G885" s="3"/>
    </row>
    <row r="886" spans="1:7" ht="12.75">
      <c r="A886" s="3"/>
      <c r="B886" s="3"/>
      <c r="C886" s="8"/>
      <c r="D886" s="3"/>
      <c r="E886" s="3"/>
      <c r="F886" s="3"/>
      <c r="G886" s="3"/>
    </row>
    <row r="887" spans="1:7" ht="12.75">
      <c r="A887" s="3"/>
      <c r="B887" s="3"/>
      <c r="C887" s="8"/>
      <c r="D887" s="3"/>
      <c r="E887" s="3"/>
      <c r="F887" s="3"/>
      <c r="G887" s="3"/>
    </row>
    <row r="888" spans="1:7" ht="12.75">
      <c r="A888" s="3"/>
      <c r="B888" s="3"/>
      <c r="C888" s="8"/>
      <c r="D888" s="3"/>
      <c r="E888" s="3"/>
      <c r="F888" s="3"/>
      <c r="G888" s="3"/>
    </row>
    <row r="889" spans="1:7" ht="12.75">
      <c r="A889" s="3"/>
      <c r="B889" s="3"/>
      <c r="C889" s="8"/>
      <c r="D889" s="3"/>
      <c r="E889" s="3"/>
      <c r="F889" s="3"/>
      <c r="G889" s="3"/>
    </row>
    <row r="890" spans="1:7" ht="12.75">
      <c r="A890" s="3"/>
      <c r="B890" s="3"/>
      <c r="C890" s="8"/>
      <c r="D890" s="3"/>
      <c r="E890" s="3"/>
      <c r="F890" s="3"/>
      <c r="G890" s="3"/>
    </row>
    <row r="891" spans="1:7" ht="12.75">
      <c r="A891" s="3"/>
      <c r="B891" s="3"/>
      <c r="C891" s="8"/>
      <c r="D891" s="3"/>
      <c r="E891" s="3"/>
      <c r="F891" s="3"/>
      <c r="G891" s="3"/>
    </row>
    <row r="892" spans="1:7" ht="12.75">
      <c r="A892" s="3"/>
      <c r="B892" s="3"/>
      <c r="C892" s="8"/>
      <c r="D892" s="3"/>
      <c r="E892" s="3"/>
      <c r="F892" s="3"/>
      <c r="G892" s="3"/>
    </row>
    <row r="893" spans="1:7" ht="12.75">
      <c r="A893" s="3"/>
      <c r="B893" s="3"/>
      <c r="C893" s="8"/>
      <c r="D893" s="3"/>
      <c r="E893" s="3"/>
      <c r="F893" s="3"/>
      <c r="G893" s="3"/>
    </row>
    <row r="894" spans="1:7" ht="12.75">
      <c r="A894" s="3"/>
      <c r="B894" s="3"/>
      <c r="C894" s="8"/>
      <c r="D894" s="3"/>
      <c r="E894" s="3"/>
      <c r="F894" s="3"/>
      <c r="G894" s="3"/>
    </row>
    <row r="895" spans="1:7" ht="12.75">
      <c r="A895" s="3"/>
      <c r="B895" s="3"/>
      <c r="C895" s="8"/>
      <c r="D895" s="3"/>
      <c r="E895" s="3"/>
      <c r="F895" s="3"/>
      <c r="G895" s="3"/>
    </row>
    <row r="896" spans="1:7" ht="12.75">
      <c r="A896" s="3"/>
      <c r="B896" s="3"/>
      <c r="C896" s="8"/>
      <c r="D896" s="3"/>
      <c r="E896" s="3"/>
      <c r="F896" s="3"/>
      <c r="G896" s="3"/>
    </row>
    <row r="897" spans="1:7" ht="12.75">
      <c r="A897" s="3"/>
      <c r="B897" s="3"/>
      <c r="C897" s="8"/>
      <c r="D897" s="3"/>
      <c r="E897" s="3"/>
      <c r="F897" s="3"/>
      <c r="G897" s="3"/>
    </row>
    <row r="898" spans="1:7" ht="12.75">
      <c r="A898" s="3"/>
      <c r="B898" s="3"/>
      <c r="C898" s="8"/>
      <c r="D898" s="3"/>
      <c r="E898" s="3"/>
      <c r="F898" s="3"/>
      <c r="G898" s="3"/>
    </row>
    <row r="899" spans="1:7" ht="12.75">
      <c r="A899" s="3"/>
      <c r="B899" s="3"/>
      <c r="C899" s="8"/>
      <c r="D899" s="3"/>
      <c r="E899" s="3"/>
      <c r="F899" s="3"/>
      <c r="G899" s="3"/>
    </row>
    <row r="900" spans="1:7" ht="12.75">
      <c r="A900" s="3"/>
      <c r="B900" s="3"/>
      <c r="C900" s="8"/>
      <c r="D900" s="3"/>
      <c r="E900" s="3"/>
      <c r="F900" s="3"/>
      <c r="G900" s="3"/>
    </row>
    <row r="901" spans="1:7" ht="12.75">
      <c r="A901" s="3"/>
      <c r="B901" s="3"/>
      <c r="C901" s="8"/>
      <c r="D901" s="3"/>
      <c r="E901" s="3"/>
      <c r="F901" s="3"/>
      <c r="G901" s="3"/>
    </row>
    <row r="902" spans="1:7" ht="12.75">
      <c r="A902" s="3"/>
      <c r="B902" s="3"/>
      <c r="C902" s="8"/>
      <c r="D902" s="3"/>
      <c r="E902" s="3"/>
      <c r="F902" s="3"/>
      <c r="G902" s="3"/>
    </row>
    <row r="903" spans="1:7" ht="12.75">
      <c r="A903" s="3"/>
      <c r="B903" s="3"/>
      <c r="C903" s="8"/>
      <c r="D903" s="3"/>
      <c r="E903" s="3"/>
      <c r="F903" s="3"/>
      <c r="G903" s="3"/>
    </row>
    <row r="904" spans="1:7" ht="12.75">
      <c r="A904" s="3"/>
      <c r="B904" s="3"/>
      <c r="C904" s="8"/>
      <c r="D904" s="3"/>
      <c r="E904" s="3"/>
      <c r="F904" s="3"/>
      <c r="G904" s="3"/>
    </row>
    <row r="905" spans="1:7" ht="12.75">
      <c r="A905" s="3"/>
      <c r="B905" s="3"/>
      <c r="C905" s="8"/>
      <c r="D905" s="3"/>
      <c r="E905" s="3"/>
      <c r="F905" s="3"/>
      <c r="G905" s="3"/>
    </row>
    <row r="906" spans="1:7" ht="12.75">
      <c r="A906" s="3"/>
      <c r="B906" s="3"/>
      <c r="C906" s="8"/>
      <c r="D906" s="3"/>
      <c r="E906" s="3"/>
      <c r="F906" s="3"/>
      <c r="G906" s="3"/>
    </row>
    <row r="907" spans="1:7" ht="12.75">
      <c r="A907" s="3"/>
      <c r="B907" s="3"/>
      <c r="C907" s="8"/>
      <c r="D907" s="3"/>
      <c r="E907" s="3"/>
      <c r="F907" s="3"/>
      <c r="G907" s="3"/>
    </row>
    <row r="908" spans="1:7" ht="12.75">
      <c r="A908" s="3"/>
      <c r="B908" s="3"/>
      <c r="C908" s="8"/>
      <c r="D908" s="3"/>
      <c r="E908" s="3"/>
      <c r="F908" s="3"/>
      <c r="G908" s="3"/>
    </row>
    <row r="909" spans="1:7" ht="12.75">
      <c r="A909" s="3"/>
      <c r="B909" s="3"/>
      <c r="C909" s="8"/>
      <c r="D909" s="3"/>
      <c r="E909" s="3"/>
      <c r="F909" s="3"/>
      <c r="G909" s="3"/>
    </row>
    <row r="910" spans="1:7" ht="12.75">
      <c r="A910" s="3"/>
      <c r="B910" s="3"/>
      <c r="C910" s="8"/>
      <c r="D910" s="3"/>
      <c r="E910" s="3"/>
      <c r="F910" s="3"/>
      <c r="G910" s="3"/>
    </row>
    <row r="911" spans="1:7" ht="12.75">
      <c r="A911" s="3"/>
      <c r="B911" s="3"/>
      <c r="C911" s="8"/>
      <c r="D911" s="3"/>
      <c r="E911" s="3"/>
      <c r="F911" s="3"/>
      <c r="G911" s="3"/>
    </row>
    <row r="912" spans="1:7" ht="12.75">
      <c r="A912" s="3"/>
      <c r="B912" s="3"/>
      <c r="C912" s="8"/>
      <c r="D912" s="3"/>
      <c r="E912" s="3"/>
      <c r="F912" s="3"/>
      <c r="G912" s="3"/>
    </row>
    <row r="913" spans="1:7" ht="12.75">
      <c r="A913" s="3"/>
      <c r="B913" s="3"/>
      <c r="C913" s="8"/>
      <c r="D913" s="3"/>
      <c r="E913" s="3"/>
      <c r="F913" s="3"/>
      <c r="G913" s="3"/>
    </row>
    <row r="914" spans="1:7" ht="12.75">
      <c r="A914" s="3"/>
      <c r="B914" s="3"/>
      <c r="C914" s="8"/>
      <c r="D914" s="3"/>
      <c r="E914" s="3"/>
      <c r="F914" s="3"/>
      <c r="G914" s="3"/>
    </row>
    <row r="915" spans="1:7" ht="12.75">
      <c r="A915" s="3"/>
      <c r="B915" s="3"/>
      <c r="C915" s="8"/>
      <c r="D915" s="3"/>
      <c r="E915" s="3"/>
      <c r="F915" s="3"/>
      <c r="G915" s="3"/>
    </row>
    <row r="916" spans="1:7" ht="12.75">
      <c r="A916" s="3"/>
      <c r="B916" s="3"/>
      <c r="C916" s="8"/>
      <c r="D916" s="3"/>
      <c r="E916" s="3"/>
      <c r="F916" s="3"/>
      <c r="G916" s="3"/>
    </row>
    <row r="917" spans="1:7" ht="12.75">
      <c r="A917" s="3"/>
      <c r="B917" s="3"/>
      <c r="C917" s="8"/>
      <c r="D917" s="3"/>
      <c r="E917" s="3"/>
      <c r="F917" s="3"/>
      <c r="G917" s="3"/>
    </row>
    <row r="918" spans="1:7" ht="12.75">
      <c r="A918" s="3"/>
      <c r="B918" s="3"/>
      <c r="C918" s="8"/>
      <c r="D918" s="3"/>
      <c r="E918" s="3"/>
      <c r="F918" s="3"/>
      <c r="G918" s="3"/>
    </row>
    <row r="919" spans="1:7" ht="12.75">
      <c r="A919" s="3"/>
      <c r="B919" s="3"/>
      <c r="C919" s="8"/>
      <c r="D919" s="3"/>
      <c r="E919" s="3"/>
      <c r="F919" s="3"/>
      <c r="G919" s="3"/>
    </row>
    <row r="920" spans="1:7" ht="12.75">
      <c r="A920" s="3"/>
      <c r="B920" s="3"/>
      <c r="C920" s="8"/>
      <c r="D920" s="3"/>
      <c r="E920" s="3"/>
      <c r="F920" s="3"/>
      <c r="G920" s="3"/>
    </row>
    <row r="921" spans="1:7" ht="12.75">
      <c r="A921" s="3"/>
      <c r="B921" s="3"/>
      <c r="C921" s="8"/>
      <c r="D921" s="3"/>
      <c r="E921" s="3"/>
      <c r="F921" s="3"/>
      <c r="G921" s="3"/>
    </row>
    <row r="922" spans="1:7" ht="12.75">
      <c r="A922" s="3"/>
      <c r="B922" s="3"/>
      <c r="C922" s="8"/>
      <c r="D922" s="3"/>
      <c r="E922" s="3"/>
      <c r="F922" s="3"/>
      <c r="G922" s="3"/>
    </row>
    <row r="923" spans="1:7" ht="12.75">
      <c r="A923" s="3"/>
      <c r="B923" s="3"/>
      <c r="C923" s="8"/>
      <c r="D923" s="3"/>
      <c r="E923" s="3"/>
      <c r="F923" s="3"/>
      <c r="G923" s="3"/>
    </row>
    <row r="924" spans="1:7" ht="12.75">
      <c r="A924" s="3"/>
      <c r="B924" s="3"/>
      <c r="C924" s="8"/>
      <c r="D924" s="3"/>
      <c r="E924" s="3"/>
      <c r="F924" s="3"/>
      <c r="G924" s="3"/>
    </row>
    <row r="925" spans="1:7" ht="12.75">
      <c r="A925" s="3"/>
      <c r="B925" s="3"/>
      <c r="C925" s="8"/>
      <c r="D925" s="3"/>
      <c r="E925" s="3"/>
      <c r="F925" s="3"/>
      <c r="G925" s="3"/>
    </row>
    <row r="926" spans="1:7" ht="12.75">
      <c r="A926" s="3"/>
      <c r="B926" s="3"/>
      <c r="C926" s="8"/>
      <c r="D926" s="3"/>
      <c r="E926" s="3"/>
      <c r="F926" s="3"/>
      <c r="G926" s="3"/>
    </row>
    <row r="927" spans="1:7" ht="12.75">
      <c r="A927" s="3"/>
      <c r="B927" s="3"/>
      <c r="C927" s="8"/>
      <c r="D927" s="3"/>
      <c r="E927" s="3"/>
      <c r="F927" s="3"/>
      <c r="G927" s="3"/>
    </row>
    <row r="928" spans="1:7" ht="12.75">
      <c r="A928" s="3"/>
      <c r="B928" s="3"/>
      <c r="C928" s="8"/>
      <c r="D928" s="3"/>
      <c r="E928" s="3"/>
      <c r="F928" s="3"/>
      <c r="G928" s="3"/>
    </row>
    <row r="929" spans="1:7" ht="12.75">
      <c r="A929" s="3"/>
      <c r="B929" s="3"/>
      <c r="C929" s="8"/>
      <c r="D929" s="3"/>
      <c r="E929" s="3"/>
      <c r="F929" s="3"/>
      <c r="G929" s="3"/>
    </row>
    <row r="930" spans="1:7" ht="12.75">
      <c r="A930" s="3"/>
      <c r="B930" s="3"/>
      <c r="C930" s="8"/>
      <c r="D930" s="3"/>
      <c r="E930" s="3"/>
      <c r="F930" s="3"/>
      <c r="G930" s="3"/>
    </row>
    <row r="931" spans="1:7" ht="12.75">
      <c r="A931" s="3"/>
      <c r="B931" s="3"/>
      <c r="C931" s="8"/>
      <c r="D931" s="3"/>
      <c r="E931" s="3"/>
      <c r="F931" s="3"/>
      <c r="G931" s="3"/>
    </row>
    <row r="932" spans="1:7" ht="12.75">
      <c r="A932" s="3"/>
      <c r="B932" s="3"/>
      <c r="C932" s="8"/>
      <c r="D932" s="3"/>
      <c r="E932" s="3"/>
      <c r="F932" s="3"/>
      <c r="G932" s="3"/>
    </row>
    <row r="933" spans="1:7" ht="12.75">
      <c r="A933" s="3"/>
      <c r="B933" s="3"/>
      <c r="C933" s="8"/>
      <c r="D933" s="3"/>
      <c r="E933" s="3"/>
      <c r="F933" s="3"/>
      <c r="G933" s="3"/>
    </row>
    <row r="934" spans="1:7" ht="12.75">
      <c r="A934" s="3"/>
      <c r="B934" s="3"/>
      <c r="C934" s="8"/>
      <c r="D934" s="3"/>
      <c r="E934" s="3"/>
      <c r="F934" s="3"/>
      <c r="G934" s="3"/>
    </row>
    <row r="935" spans="1:7" ht="12.75">
      <c r="A935" s="3"/>
      <c r="B935" s="3"/>
      <c r="C935" s="8"/>
      <c r="D935" s="3"/>
      <c r="E935" s="3"/>
      <c r="F935" s="3"/>
      <c r="G935" s="3"/>
    </row>
    <row r="936" spans="1:7" ht="12.75">
      <c r="A936" s="3"/>
      <c r="B936" s="3"/>
      <c r="C936" s="8"/>
      <c r="D936" s="3"/>
      <c r="E936" s="3"/>
      <c r="F936" s="3"/>
      <c r="G936" s="3"/>
    </row>
    <row r="937" spans="1:7" ht="12.75">
      <c r="A937" s="3"/>
      <c r="B937" s="3"/>
      <c r="C937" s="8"/>
      <c r="D937" s="3"/>
      <c r="E937" s="3"/>
      <c r="F937" s="3"/>
      <c r="G937" s="3"/>
    </row>
    <row r="938" spans="1:7" ht="12.75">
      <c r="A938" s="3"/>
      <c r="B938" s="3"/>
      <c r="C938" s="8"/>
      <c r="D938" s="3"/>
      <c r="E938" s="3"/>
      <c r="F938" s="3"/>
      <c r="G938" s="3"/>
    </row>
    <row r="939" spans="1:7" ht="12.75">
      <c r="A939" s="3"/>
      <c r="B939" s="3"/>
      <c r="C939" s="8"/>
      <c r="D939" s="3"/>
      <c r="E939" s="3"/>
      <c r="F939" s="3"/>
      <c r="G939" s="3"/>
    </row>
    <row r="940" spans="1:7" ht="12.75">
      <c r="A940" s="3"/>
      <c r="B940" s="3"/>
      <c r="C940" s="8"/>
      <c r="D940" s="3"/>
      <c r="E940" s="3"/>
      <c r="F940" s="3"/>
      <c r="G940" s="3"/>
    </row>
    <row r="941" spans="1:7" ht="12.75">
      <c r="A941" s="3"/>
      <c r="B941" s="3"/>
      <c r="C941" s="8"/>
      <c r="D941" s="3"/>
      <c r="E941" s="3"/>
      <c r="F941" s="3"/>
      <c r="G941" s="3"/>
    </row>
  </sheetData>
  <mergeCells count="1">
    <mergeCell ref="A33:B33"/>
  </mergeCells>
  <conditionalFormatting sqref="B2:B7">
    <cfRule type="notContainsBlanks" dxfId="1" priority="1">
      <formula>LEN(TRIM(B2))&gt;0</formula>
    </cfRule>
  </conditionalFormatting>
  <dataValidations count="8">
    <dataValidation type="list" allowBlank="1" sqref="B39">
      <formula1>OPTduration</formula1>
    </dataValidation>
    <dataValidation type="list" allowBlank="1" sqref="B54">
      <formula1>OPTcontroldata</formula1>
    </dataValidation>
    <dataValidation type="list" allowBlank="1" sqref="B58:B59">
      <formula1>OPTsourcedata</formula1>
    </dataValidation>
    <dataValidation type="list" allowBlank="1" sqref="B41 B43 B45 B47">
      <formula1>OPTimpact</formula1>
    </dataValidation>
    <dataValidation type="list" allowBlank="1" sqref="B62">
      <formula1>OPTunstructdata</formula1>
    </dataValidation>
    <dataValidation type="list" allowBlank="1" sqref="B38">
      <formula1>OPTreversible</formula1>
    </dataValidation>
    <dataValidation type="list" allowBlank="1" sqref="B53">
      <formula1>OPTsecurityclass</formula1>
    </dataValidation>
    <dataValidation type="list" allowBlank="1" showInputMessage="1" showErrorMessage="1" sqref="B10:B14 B19:B23 B27:B31 B35 B37 B52 B55:B57 B61 B67:B72 B74:B85">
      <formula1>"TRUE, FALSE"</formula1>
    </dataValidation>
  </dataValidations>
  <pageMargins left="0.7" right="0.7" top="0.75" bottom="0.75" header="0.3" footer="0.3"/>
  <pageSetup orientation="portrait" r:id="rId1"/>
  <headerFooter differentOddEven="1" differentFirst="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941"/>
  <sheetViews>
    <sheetView tabSelected="1" workbookViewId="0">
      <selection activeCell="B29" sqref="B29"/>
    </sheetView>
  </sheetViews>
  <sheetFormatPr defaultColWidth="14.42578125" defaultRowHeight="15.75" customHeight="1"/>
  <cols>
    <col min="1" max="1" width="61" customWidth="1"/>
    <col min="2" max="2" width="61" style="92" customWidth="1"/>
    <col min="3" max="5" width="28" hidden="1" customWidth="1"/>
    <col min="6" max="6" width="33" hidden="1" customWidth="1"/>
    <col min="7" max="7" width="28" hidden="1" customWidth="1"/>
    <col min="8" max="9" width="23.28515625" hidden="1" customWidth="1"/>
    <col min="10" max="10" width="127.85546875" hidden="1" customWidth="1"/>
    <col min="12" max="12" width="27.7109375" customWidth="1"/>
  </cols>
  <sheetData>
    <row r="1" spans="1:7" ht="12.75">
      <c r="A1" s="1" t="s">
        <v>0</v>
      </c>
      <c r="B1" s="82" t="s">
        <v>1</v>
      </c>
      <c r="C1" s="2" t="s">
        <v>2</v>
      </c>
      <c r="D1" s="3"/>
      <c r="E1" s="4"/>
      <c r="F1" s="3"/>
      <c r="G1" s="5"/>
    </row>
    <row r="2" spans="1:7" ht="12.75">
      <c r="A2" s="6" t="s">
        <v>3</v>
      </c>
      <c r="B2" s="83"/>
      <c r="C2" s="8"/>
      <c r="D2" s="3"/>
      <c r="E2" s="3"/>
      <c r="F2" s="3"/>
      <c r="G2" s="3"/>
    </row>
    <row r="3" spans="1:7" ht="12.75">
      <c r="A3" s="6" t="s">
        <v>22</v>
      </c>
      <c r="B3" s="83"/>
      <c r="C3" s="8"/>
      <c r="D3" s="3"/>
      <c r="E3" s="3"/>
      <c r="F3" s="3"/>
      <c r="G3" s="3"/>
    </row>
    <row r="4" spans="1:7" ht="12.75">
      <c r="A4" s="6" t="s">
        <v>24</v>
      </c>
      <c r="B4" s="83"/>
      <c r="C4" s="8"/>
      <c r="D4" s="3"/>
      <c r="E4" s="3"/>
      <c r="F4" s="3"/>
      <c r="G4" s="3"/>
    </row>
    <row r="5" spans="1:7" ht="12.75">
      <c r="A5" s="6" t="s">
        <v>25</v>
      </c>
      <c r="B5" s="83"/>
      <c r="C5" s="8"/>
      <c r="D5" s="3"/>
      <c r="E5" s="3"/>
      <c r="F5" s="3"/>
      <c r="G5" s="3"/>
    </row>
    <row r="6" spans="1:7" ht="12.75">
      <c r="A6" s="6" t="s">
        <v>27</v>
      </c>
      <c r="B6" s="83"/>
      <c r="C6" s="8"/>
      <c r="D6" s="3"/>
      <c r="E6" s="3"/>
      <c r="F6" s="3"/>
      <c r="G6" s="3"/>
    </row>
    <row r="7" spans="1:7" ht="12.75">
      <c r="A7" s="6" t="s">
        <v>29</v>
      </c>
      <c r="B7" s="83"/>
      <c r="C7" s="8"/>
      <c r="D7" s="3"/>
      <c r="E7" s="3"/>
      <c r="F7" s="3"/>
      <c r="G7" s="3"/>
    </row>
    <row r="8" spans="1:7" ht="12.75">
      <c r="A8" s="17" t="s">
        <v>30</v>
      </c>
      <c r="B8" s="84"/>
      <c r="C8" s="8"/>
      <c r="D8" s="3"/>
      <c r="E8" s="4" t="s">
        <v>19</v>
      </c>
      <c r="F8" s="3"/>
      <c r="G8" s="3"/>
    </row>
    <row r="9" spans="1:7" ht="25.5">
      <c r="A9" s="10" t="s">
        <v>278</v>
      </c>
      <c r="B9" s="85"/>
      <c r="C9" s="8"/>
      <c r="D9" s="3"/>
      <c r="E9" s="3"/>
      <c r="F9" s="3"/>
      <c r="G9" s="3"/>
    </row>
    <row r="10" spans="1:7" ht="12.75">
      <c r="A10" s="20" t="s">
        <v>41</v>
      </c>
      <c r="B10" s="70" t="s">
        <v>277</v>
      </c>
      <c r="C10" s="8"/>
      <c r="D10" s="3"/>
      <c r="E10" s="3"/>
      <c r="F10" s="3"/>
      <c r="G10" s="3"/>
    </row>
    <row r="11" spans="1:7" ht="12.75">
      <c r="A11" s="6" t="s">
        <v>44</v>
      </c>
      <c r="B11" s="70" t="s">
        <v>277</v>
      </c>
      <c r="C11" s="8"/>
      <c r="D11" s="3"/>
      <c r="E11" s="3"/>
      <c r="F11" s="3"/>
      <c r="G11" s="3"/>
    </row>
    <row r="12" spans="1:7" ht="12.75">
      <c r="A12" s="10" t="s">
        <v>49</v>
      </c>
      <c r="B12" s="70" t="s">
        <v>277</v>
      </c>
      <c r="C12" s="8"/>
      <c r="D12" s="3"/>
      <c r="E12" s="3"/>
      <c r="F12" s="3"/>
      <c r="G12" s="3"/>
    </row>
    <row r="13" spans="1:7" ht="25.5">
      <c r="A13" s="10" t="s">
        <v>51</v>
      </c>
      <c r="B13" s="70" t="s">
        <v>277</v>
      </c>
      <c r="C13" s="8"/>
      <c r="D13" s="3"/>
      <c r="E13" s="3"/>
      <c r="F13" s="3"/>
      <c r="G13" s="3"/>
    </row>
    <row r="14" spans="1:7" ht="12.75">
      <c r="A14" s="6" t="s">
        <v>54</v>
      </c>
      <c r="B14" s="70" t="s">
        <v>277</v>
      </c>
      <c r="C14" s="8"/>
      <c r="D14" s="3"/>
      <c r="E14" s="3"/>
      <c r="F14" s="3"/>
      <c r="G14" s="3"/>
    </row>
    <row r="15" spans="1:7" ht="12.75">
      <c r="A15" s="6" t="s">
        <v>56</v>
      </c>
      <c r="B15" s="70" t="s">
        <v>277</v>
      </c>
      <c r="C15" s="8"/>
      <c r="D15" s="3"/>
      <c r="E15" s="3"/>
      <c r="F15" s="3"/>
      <c r="G15" s="3"/>
    </row>
    <row r="16" spans="1:7" ht="12.75">
      <c r="A16" s="10"/>
      <c r="B16" s="85"/>
      <c r="C16" s="8"/>
      <c r="D16" s="3"/>
      <c r="E16" s="3"/>
      <c r="F16" s="3"/>
      <c r="G16" s="3"/>
    </row>
    <row r="17" spans="1:7" ht="12.75">
      <c r="A17" s="17" t="s">
        <v>59</v>
      </c>
      <c r="B17" s="84"/>
      <c r="C17" s="8"/>
      <c r="D17" s="3"/>
      <c r="E17" s="4" t="s">
        <v>19</v>
      </c>
      <c r="F17" s="3"/>
      <c r="G17" s="3"/>
    </row>
    <row r="18" spans="1:7" ht="63.75" customHeight="1">
      <c r="A18" s="71" t="s">
        <v>61</v>
      </c>
      <c r="B18" s="85"/>
      <c r="C18" s="8"/>
      <c r="D18" s="3"/>
      <c r="E18" s="3"/>
      <c r="F18" s="3"/>
      <c r="G18" s="3"/>
    </row>
    <row r="19" spans="1:7" ht="63.75" customHeight="1">
      <c r="A19" s="71" t="s">
        <v>65</v>
      </c>
      <c r="B19" s="70" t="s">
        <v>277</v>
      </c>
      <c r="C19" s="8"/>
      <c r="D19" s="3"/>
      <c r="E19" s="19" t="s">
        <v>38</v>
      </c>
      <c r="F19" s="3"/>
      <c r="G19" s="3"/>
    </row>
    <row r="20" spans="1:7" ht="63.75" customHeight="1">
      <c r="A20" s="71" t="s">
        <v>68</v>
      </c>
      <c r="B20" s="70" t="s">
        <v>277</v>
      </c>
      <c r="C20" s="8"/>
      <c r="D20" s="3"/>
      <c r="E20" s="19" t="s">
        <v>40</v>
      </c>
      <c r="F20" s="3"/>
      <c r="G20" s="3"/>
    </row>
    <row r="21" spans="1:7" ht="63.75" customHeight="1">
      <c r="A21" s="71" t="s">
        <v>72</v>
      </c>
      <c r="B21" s="70" t="s">
        <v>277</v>
      </c>
      <c r="C21" s="8"/>
      <c r="D21" s="3"/>
      <c r="E21" s="19" t="s">
        <v>43</v>
      </c>
      <c r="F21" s="3"/>
      <c r="G21" s="3"/>
    </row>
    <row r="22" spans="1:7" ht="63.75" customHeight="1">
      <c r="A22" s="71" t="s">
        <v>74</v>
      </c>
      <c r="B22" s="70" t="s">
        <v>277</v>
      </c>
      <c r="C22" s="8"/>
      <c r="D22" s="3"/>
      <c r="E22" s="19" t="s">
        <v>50</v>
      </c>
      <c r="F22" s="3"/>
      <c r="G22" s="3"/>
    </row>
    <row r="23" spans="1:7" ht="63.75" customHeight="1">
      <c r="A23" s="71" t="s">
        <v>75</v>
      </c>
      <c r="B23" s="70" t="s">
        <v>277</v>
      </c>
      <c r="C23" s="8"/>
      <c r="D23" s="3"/>
      <c r="E23" s="19" t="s">
        <v>55</v>
      </c>
      <c r="F23" s="3"/>
      <c r="G23" s="3"/>
    </row>
    <row r="24" spans="1:7" ht="12.75">
      <c r="A24" s="10"/>
      <c r="B24" s="85"/>
      <c r="C24" s="8"/>
      <c r="D24" s="3"/>
      <c r="E24" s="3"/>
      <c r="F24" s="3"/>
      <c r="G24" s="3"/>
    </row>
    <row r="25" spans="1:7" ht="89.25">
      <c r="A25" s="13" t="s">
        <v>77</v>
      </c>
      <c r="B25" s="84"/>
      <c r="C25" s="8"/>
      <c r="D25" s="3"/>
      <c r="E25" s="19" t="s">
        <v>58</v>
      </c>
      <c r="F25" s="10"/>
      <c r="G25" s="3"/>
    </row>
    <row r="26" spans="1:7" ht="25.5">
      <c r="A26" s="6" t="s">
        <v>79</v>
      </c>
      <c r="B26" s="85"/>
      <c r="C26" s="8"/>
      <c r="D26" s="3"/>
      <c r="E26" s="3"/>
      <c r="F26" s="3"/>
      <c r="G26" s="3"/>
    </row>
    <row r="27" spans="1:7" ht="12.75">
      <c r="A27" s="6" t="s">
        <v>80</v>
      </c>
      <c r="B27" s="70" t="s">
        <v>277</v>
      </c>
      <c r="C27" s="25">
        <f>IF(EXACT(B27, "VRAI"),PNTYes1,0)</f>
        <v>1</v>
      </c>
      <c r="D27" s="10"/>
      <c r="E27" s="3"/>
      <c r="F27" s="3"/>
      <c r="G27" s="3"/>
    </row>
    <row r="28" spans="1:7" ht="25.5">
      <c r="A28" s="6" t="s">
        <v>84</v>
      </c>
      <c r="B28" s="70" t="s">
        <v>277</v>
      </c>
      <c r="C28" s="25">
        <f>IF(EXACT(B28, "VRAI"),PNTYes1,0)</f>
        <v>1</v>
      </c>
      <c r="D28" s="3"/>
      <c r="E28" s="3"/>
      <c r="F28" s="3"/>
      <c r="G28" s="3"/>
    </row>
    <row r="29" spans="1:7" ht="25.5">
      <c r="A29" s="6" t="s">
        <v>88</v>
      </c>
      <c r="B29" s="70" t="s">
        <v>277</v>
      </c>
      <c r="C29" s="25">
        <f>IF(EXACT(B29, "VRAI"),PNTYes1,0)</f>
        <v>1</v>
      </c>
      <c r="D29" s="3"/>
      <c r="E29" s="3"/>
      <c r="F29" s="3"/>
      <c r="G29" s="3"/>
    </row>
    <row r="30" spans="1:7" ht="12.75">
      <c r="A30" s="6" t="s">
        <v>91</v>
      </c>
      <c r="B30" s="70" t="s">
        <v>277</v>
      </c>
      <c r="C30" s="25">
        <f>IF(EXACT(B30, "VRAI"),PNTYes1,0)</f>
        <v>1</v>
      </c>
      <c r="D30" s="3"/>
      <c r="E30" s="3"/>
      <c r="F30" s="3"/>
      <c r="G30" s="3"/>
    </row>
    <row r="31" spans="1:7" ht="12.75">
      <c r="A31" s="6" t="s">
        <v>96</v>
      </c>
      <c r="B31" s="70" t="s">
        <v>277</v>
      </c>
      <c r="C31" s="25">
        <f>IF(EXACT(B31, "VRAI"),PNTYes1,0)</f>
        <v>1</v>
      </c>
      <c r="D31" s="3"/>
      <c r="E31" s="3"/>
      <c r="F31" s="3"/>
      <c r="G31" s="3"/>
    </row>
    <row r="32" spans="1:7" ht="12.75">
      <c r="A32" s="10"/>
      <c r="B32" s="85"/>
      <c r="C32" s="8"/>
      <c r="D32" s="3"/>
      <c r="E32" s="3"/>
      <c r="F32" s="3"/>
      <c r="G32" s="3"/>
    </row>
    <row r="33" spans="1:10" ht="37.5">
      <c r="A33" s="97"/>
      <c r="B33" s="98"/>
      <c r="C33" s="29"/>
      <c r="D33" s="3"/>
      <c r="E33" s="3"/>
      <c r="F33" s="3"/>
      <c r="G33" s="3"/>
    </row>
    <row r="34" spans="1:10" ht="12.75">
      <c r="A34" s="30" t="s">
        <v>103</v>
      </c>
      <c r="B34" s="86"/>
      <c r="C34" s="30"/>
      <c r="D34" s="30" t="s">
        <v>95</v>
      </c>
      <c r="E34" s="30" t="s">
        <v>97</v>
      </c>
      <c r="F34" s="30" t="s">
        <v>98</v>
      </c>
      <c r="G34" s="30" t="s">
        <v>99</v>
      </c>
      <c r="H34" s="31" t="s">
        <v>100</v>
      </c>
      <c r="I34" s="33" t="s">
        <v>102</v>
      </c>
      <c r="J34" s="33" t="s">
        <v>105</v>
      </c>
    </row>
    <row r="35" spans="1:10" ht="47.25" customHeight="1">
      <c r="A35" s="72" t="s">
        <v>280</v>
      </c>
      <c r="B35" s="70" t="s">
        <v>277</v>
      </c>
      <c r="C35" s="25">
        <f>IF(EXACT(B35, "VRAI"),PNTYes1,0)</f>
        <v>1</v>
      </c>
      <c r="D35" s="35"/>
      <c r="E35" s="36"/>
      <c r="F35" s="35"/>
      <c r="G35" s="37" t="s">
        <v>110</v>
      </c>
      <c r="H35" s="22" t="s">
        <v>113</v>
      </c>
      <c r="I35" s="22" t="s">
        <v>114</v>
      </c>
      <c r="J35" s="19" t="s">
        <v>115</v>
      </c>
    </row>
    <row r="36" spans="1:10" ht="47.25" customHeight="1">
      <c r="A36" s="72" t="s">
        <v>281</v>
      </c>
      <c r="B36" s="87"/>
      <c r="C36" s="39"/>
      <c r="D36" s="39"/>
      <c r="E36" s="39"/>
      <c r="F36" s="37"/>
      <c r="G36" s="39"/>
      <c r="H36" s="22"/>
      <c r="I36" s="22" t="s">
        <v>119</v>
      </c>
    </row>
    <row r="37" spans="1:10" ht="47.25" customHeight="1">
      <c r="A37" s="72" t="s">
        <v>282</v>
      </c>
      <c r="B37" s="70" t="s">
        <v>277</v>
      </c>
      <c r="C37" s="25">
        <f>IF(EXACT(B37, "VRAI"),PNTYes1,0)</f>
        <v>1</v>
      </c>
      <c r="D37" s="35"/>
      <c r="E37" s="35"/>
      <c r="F37" s="37" t="s">
        <v>110</v>
      </c>
      <c r="G37" s="35"/>
      <c r="H37" s="22" t="s">
        <v>113</v>
      </c>
      <c r="I37" s="22"/>
    </row>
    <row r="38" spans="1:10" ht="47.25" customHeight="1">
      <c r="A38" s="72" t="s">
        <v>285</v>
      </c>
      <c r="B38" s="37" t="s">
        <v>64</v>
      </c>
      <c r="C38" s="39">
        <f t="array" ref="C38">INDEX(PNTreversible,MATCH(B38,FROPTreversible,0))</f>
        <v>2</v>
      </c>
      <c r="D38" s="37" t="s">
        <v>23</v>
      </c>
      <c r="E38" s="37" t="s">
        <v>62</v>
      </c>
      <c r="F38" s="37" t="s">
        <v>66</v>
      </c>
      <c r="G38" s="37" t="s">
        <v>69</v>
      </c>
      <c r="H38" s="22"/>
      <c r="I38" s="22" t="s">
        <v>114</v>
      </c>
    </row>
    <row r="39" spans="1:10" ht="47.25" customHeight="1">
      <c r="A39" s="72" t="s">
        <v>286</v>
      </c>
      <c r="B39" s="37" t="s">
        <v>78</v>
      </c>
      <c r="C39" s="39">
        <f t="array" ref="C39">INDEX(PNTduration,MATCH(B39,FROPTduration,0))</f>
        <v>1</v>
      </c>
      <c r="D39" s="37" t="s">
        <v>73</v>
      </c>
      <c r="E39" s="37" t="s">
        <v>86</v>
      </c>
      <c r="F39" s="37" t="s">
        <v>89</v>
      </c>
      <c r="G39" s="37" t="s">
        <v>93</v>
      </c>
      <c r="H39" s="22"/>
      <c r="I39" s="22"/>
    </row>
    <row r="40" spans="1:10" ht="47.25" customHeight="1">
      <c r="A40" s="72" t="s">
        <v>287</v>
      </c>
      <c r="B40" s="87"/>
      <c r="C40" s="39"/>
      <c r="D40" s="37"/>
      <c r="E40" s="37"/>
      <c r="F40" s="37"/>
      <c r="G40" s="37"/>
      <c r="H40" s="22"/>
      <c r="I40" s="22" t="s">
        <v>119</v>
      </c>
    </row>
    <row r="41" spans="1:10" ht="47.25" customHeight="1">
      <c r="A41" s="72" t="s">
        <v>288</v>
      </c>
      <c r="B41" s="37" t="s">
        <v>109</v>
      </c>
      <c r="C41" s="39">
        <f t="array" ref="C41">INDEX(PNTimpact,MATCH(B41,FROPTimpact,0))</f>
        <v>2</v>
      </c>
      <c r="D41" s="37" t="s">
        <v>101</v>
      </c>
      <c r="E41" s="37" t="s">
        <v>108</v>
      </c>
      <c r="F41" s="37" t="s">
        <v>111</v>
      </c>
      <c r="G41" s="37" t="s">
        <v>116</v>
      </c>
      <c r="H41" s="40" t="s">
        <v>120</v>
      </c>
      <c r="I41" s="40" t="s">
        <v>114</v>
      </c>
      <c r="J41" s="41" t="s">
        <v>121</v>
      </c>
    </row>
    <row r="42" spans="1:10" ht="47.25" customHeight="1">
      <c r="A42" s="72" t="s">
        <v>287</v>
      </c>
      <c r="B42" s="87"/>
      <c r="C42" s="39"/>
      <c r="D42" s="39"/>
      <c r="E42" s="39"/>
      <c r="F42" s="39"/>
      <c r="G42" s="39"/>
      <c r="I42" s="22" t="s">
        <v>119</v>
      </c>
    </row>
    <row r="43" spans="1:10" ht="47.25" customHeight="1">
      <c r="A43" s="72" t="s">
        <v>283</v>
      </c>
      <c r="B43" s="37" t="s">
        <v>109</v>
      </c>
      <c r="C43" s="39">
        <f t="array" ref="C43">INDEX(PNTimpact,MATCH(B43,FROPTimpact,0))</f>
        <v>2</v>
      </c>
      <c r="D43" s="37" t="s">
        <v>101</v>
      </c>
      <c r="E43" s="37" t="s">
        <v>122</v>
      </c>
      <c r="F43" s="37" t="s">
        <v>123</v>
      </c>
      <c r="G43" s="37" t="s">
        <v>116</v>
      </c>
      <c r="H43" s="40" t="s">
        <v>120</v>
      </c>
      <c r="I43" s="40" t="s">
        <v>114</v>
      </c>
      <c r="J43" s="40"/>
    </row>
    <row r="44" spans="1:10" ht="47.25" customHeight="1">
      <c r="A44" s="72" t="s">
        <v>289</v>
      </c>
      <c r="B44" s="88"/>
      <c r="C44" s="39"/>
      <c r="D44" s="39"/>
      <c r="E44" s="39"/>
      <c r="F44" s="39"/>
      <c r="G44" s="39"/>
      <c r="I44" s="22" t="s">
        <v>119</v>
      </c>
    </row>
    <row r="45" spans="1:10" ht="47.25" customHeight="1">
      <c r="A45" s="72" t="s">
        <v>290</v>
      </c>
      <c r="B45" s="37" t="s">
        <v>109</v>
      </c>
      <c r="C45" s="39">
        <f t="array" ref="C45">INDEX(PNTimpact,MATCH(B45,FROPTimpact,0))</f>
        <v>2</v>
      </c>
      <c r="D45" s="37" t="s">
        <v>101</v>
      </c>
      <c r="E45" s="37" t="s">
        <v>122</v>
      </c>
      <c r="F45" s="37" t="s">
        <v>123</v>
      </c>
      <c r="G45" s="37" t="s">
        <v>116</v>
      </c>
      <c r="H45" s="40" t="s">
        <v>120</v>
      </c>
      <c r="I45" s="40" t="s">
        <v>114</v>
      </c>
      <c r="J45" s="40"/>
    </row>
    <row r="46" spans="1:10" ht="47.25" customHeight="1">
      <c r="A46" s="72" t="s">
        <v>289</v>
      </c>
      <c r="B46" s="88"/>
      <c r="C46" s="39"/>
      <c r="D46" s="39"/>
      <c r="E46" s="39"/>
      <c r="F46" s="39"/>
      <c r="G46" s="39"/>
      <c r="I46" s="22" t="s">
        <v>119</v>
      </c>
    </row>
    <row r="47" spans="1:10" ht="47.25" customHeight="1">
      <c r="A47" s="72" t="s">
        <v>291</v>
      </c>
      <c r="B47" s="37" t="s">
        <v>109</v>
      </c>
      <c r="C47" s="39">
        <f t="array" ref="C47">INDEX(PNTimpact,MATCH(B47,FROPTimpact,0))</f>
        <v>2</v>
      </c>
      <c r="D47" s="37" t="s">
        <v>101</v>
      </c>
      <c r="E47" s="37" t="s">
        <v>122</v>
      </c>
      <c r="F47" s="37" t="s">
        <v>123</v>
      </c>
      <c r="G47" s="37" t="s">
        <v>116</v>
      </c>
      <c r="H47" s="40" t="s">
        <v>120</v>
      </c>
      <c r="I47" s="40" t="s">
        <v>114</v>
      </c>
      <c r="J47" s="40" t="s">
        <v>145</v>
      </c>
    </row>
    <row r="48" spans="1:10" ht="47.25" customHeight="1">
      <c r="A48" s="72" t="s">
        <v>289</v>
      </c>
      <c r="B48" s="87"/>
      <c r="C48" s="39"/>
      <c r="D48" s="39"/>
      <c r="E48" s="39"/>
      <c r="F48" s="39"/>
      <c r="G48" s="39"/>
      <c r="I48" s="22" t="s">
        <v>119</v>
      </c>
    </row>
    <row r="49" spans="1:27" ht="12.75">
      <c r="A49" s="13" t="s">
        <v>149</v>
      </c>
      <c r="B49" s="84"/>
      <c r="C49" s="8"/>
      <c r="D49" s="3"/>
      <c r="E49" s="5"/>
      <c r="F49" s="3"/>
      <c r="G49" s="3"/>
    </row>
    <row r="50" spans="1:27" ht="12.75">
      <c r="A50" s="3"/>
      <c r="B50" s="85"/>
      <c r="C50" s="8"/>
      <c r="D50" s="3"/>
      <c r="E50" s="3"/>
      <c r="F50" s="3"/>
      <c r="G50" s="3"/>
    </row>
    <row r="51" spans="1:27" ht="12.75">
      <c r="A51" s="44" t="s">
        <v>152</v>
      </c>
      <c r="B51" s="89"/>
      <c r="C51" s="8"/>
      <c r="D51" s="3"/>
      <c r="E51" s="3"/>
      <c r="F51" s="3"/>
      <c r="G51" s="3"/>
      <c r="H51" s="3"/>
      <c r="I51" s="3"/>
      <c r="J51" s="3"/>
      <c r="K51" s="3"/>
      <c r="L51" s="3"/>
      <c r="M51" s="3"/>
      <c r="N51" s="3"/>
      <c r="O51" s="3"/>
      <c r="P51" s="3"/>
      <c r="Q51" s="3"/>
      <c r="R51" s="3"/>
      <c r="S51" s="3"/>
      <c r="T51" s="3"/>
      <c r="U51" s="3"/>
      <c r="V51" s="3"/>
      <c r="W51" s="3"/>
      <c r="X51" s="3"/>
      <c r="Y51" s="3"/>
      <c r="Z51" s="3"/>
      <c r="AA51" s="3"/>
    </row>
    <row r="52" spans="1:27" s="77" customFormat="1" ht="44.25" customHeight="1">
      <c r="A52" s="73" t="s">
        <v>292</v>
      </c>
      <c r="B52" s="70" t="s">
        <v>277</v>
      </c>
      <c r="C52" s="74">
        <f>IF(EXACT(B52, "VRAI"),PNTYes1,0)</f>
        <v>1</v>
      </c>
      <c r="D52" s="75"/>
      <c r="E52" s="75"/>
      <c r="F52" s="75"/>
      <c r="G52" s="73" t="s">
        <v>110</v>
      </c>
      <c r="H52" s="76" t="s">
        <v>113</v>
      </c>
      <c r="I52" s="76" t="s">
        <v>114</v>
      </c>
    </row>
    <row r="53" spans="1:27" s="77" customFormat="1" ht="44.25" customHeight="1">
      <c r="A53" s="73" t="s">
        <v>299</v>
      </c>
      <c r="B53" s="80" t="s">
        <v>137</v>
      </c>
      <c r="C53" s="78">
        <f t="array" ref="C53">INDEX(PNTsecurityclass,MATCH(B53,FROPTsecurityclass,0))</f>
        <v>0</v>
      </c>
      <c r="D53" s="73" t="s">
        <v>118</v>
      </c>
      <c r="E53" s="73" t="s">
        <v>128</v>
      </c>
      <c r="F53" s="73" t="s">
        <v>172</v>
      </c>
      <c r="G53" s="73" t="s">
        <v>133</v>
      </c>
      <c r="H53" s="73" t="s">
        <v>136</v>
      </c>
      <c r="I53" s="73" t="s">
        <v>114</v>
      </c>
      <c r="J53" s="73"/>
      <c r="K53" s="73"/>
      <c r="L53" s="73"/>
      <c r="M53" s="73"/>
      <c r="N53" s="73"/>
      <c r="O53" s="73"/>
      <c r="P53" s="73"/>
      <c r="Q53" s="73"/>
      <c r="R53" s="73"/>
      <c r="S53" s="73"/>
      <c r="T53" s="73"/>
      <c r="U53" s="73"/>
      <c r="V53" s="73"/>
      <c r="W53" s="73"/>
      <c r="X53" s="73"/>
      <c r="Y53" s="73"/>
      <c r="Z53" s="73"/>
      <c r="AA53" s="73"/>
    </row>
    <row r="54" spans="1:27" s="77" customFormat="1" ht="44.25" customHeight="1">
      <c r="A54" s="73" t="s">
        <v>293</v>
      </c>
      <c r="B54" s="80" t="s">
        <v>140</v>
      </c>
      <c r="C54" s="78">
        <f t="array" ref="C54">INDEX(PNTcontroldata,MATCH(B54,FROPTcontroldata,0))</f>
        <v>1</v>
      </c>
      <c r="D54" s="73" t="s">
        <v>138</v>
      </c>
      <c r="E54" s="79"/>
      <c r="F54" s="73" t="s">
        <v>143</v>
      </c>
      <c r="G54" s="73" t="s">
        <v>146</v>
      </c>
      <c r="H54" s="73" t="s">
        <v>150</v>
      </c>
      <c r="I54" s="73" t="s">
        <v>114</v>
      </c>
      <c r="J54" s="73"/>
      <c r="K54" s="73"/>
      <c r="L54" s="73"/>
      <c r="M54" s="73"/>
      <c r="N54" s="73"/>
      <c r="O54" s="73"/>
      <c r="P54" s="73"/>
      <c r="Q54" s="73"/>
      <c r="R54" s="73"/>
      <c r="S54" s="73"/>
      <c r="T54" s="73"/>
      <c r="U54" s="73"/>
      <c r="V54" s="73"/>
      <c r="W54" s="73"/>
      <c r="X54" s="73"/>
      <c r="Y54" s="73"/>
      <c r="Z54" s="73"/>
      <c r="AA54" s="73"/>
    </row>
    <row r="55" spans="1:27" s="77" customFormat="1" ht="44.25" customHeight="1">
      <c r="A55" s="73" t="s">
        <v>294</v>
      </c>
      <c r="B55" s="70" t="s">
        <v>277</v>
      </c>
      <c r="C55" s="74">
        <f>IF(EXACT(B55, "VRAI"),PNTYes1,0)</f>
        <v>1</v>
      </c>
      <c r="D55" s="75" t="s">
        <v>187</v>
      </c>
      <c r="E55" s="75"/>
      <c r="F55" s="75"/>
      <c r="G55" s="73" t="s">
        <v>110</v>
      </c>
      <c r="H55" s="73" t="s">
        <v>113</v>
      </c>
      <c r="I55" s="73"/>
      <c r="J55" s="73"/>
      <c r="K55" s="73"/>
      <c r="L55" s="73"/>
      <c r="M55" s="73"/>
      <c r="N55" s="73"/>
      <c r="O55" s="73"/>
      <c r="P55" s="73"/>
      <c r="Q55" s="73"/>
      <c r="R55" s="73"/>
      <c r="S55" s="73"/>
      <c r="T55" s="73"/>
      <c r="U55" s="73"/>
      <c r="V55" s="73"/>
      <c r="W55" s="73"/>
      <c r="X55" s="73"/>
      <c r="Y55" s="73"/>
      <c r="Z55" s="73"/>
      <c r="AA55" s="73"/>
    </row>
    <row r="56" spans="1:27" s="77" customFormat="1" ht="44.25" customHeight="1">
      <c r="A56" s="73" t="s">
        <v>298</v>
      </c>
      <c r="B56" s="70" t="s">
        <v>277</v>
      </c>
      <c r="C56" s="74">
        <f>IF(EXACT(B56, "VRAI"),PNTYes1,0)</f>
        <v>1</v>
      </c>
      <c r="D56" s="75"/>
      <c r="E56" s="75"/>
      <c r="F56" s="75"/>
      <c r="G56" s="73" t="s">
        <v>110</v>
      </c>
      <c r="H56" s="73" t="s">
        <v>113</v>
      </c>
      <c r="I56" s="73" t="s">
        <v>114</v>
      </c>
      <c r="J56" s="73"/>
      <c r="K56" s="73"/>
      <c r="L56" s="73"/>
      <c r="M56" s="73"/>
      <c r="N56" s="73"/>
      <c r="O56" s="73"/>
      <c r="P56" s="73"/>
      <c r="Q56" s="73"/>
      <c r="R56" s="73"/>
      <c r="S56" s="73"/>
      <c r="T56" s="73"/>
      <c r="U56" s="73"/>
      <c r="V56" s="73"/>
      <c r="W56" s="73"/>
      <c r="X56" s="73"/>
      <c r="Y56" s="73"/>
      <c r="Z56" s="73"/>
      <c r="AA56" s="73"/>
    </row>
    <row r="57" spans="1:27" s="77" customFormat="1" ht="44.25" customHeight="1">
      <c r="A57" s="73" t="s">
        <v>295</v>
      </c>
      <c r="B57" s="70" t="s">
        <v>277</v>
      </c>
      <c r="C57" s="74">
        <f>IF(EXACT(B57, "VRAI"),PNTYes1,0)</f>
        <v>1</v>
      </c>
      <c r="D57" s="75"/>
      <c r="E57" s="75"/>
      <c r="F57" s="75"/>
      <c r="G57" s="73" t="s">
        <v>110</v>
      </c>
      <c r="H57" s="73" t="s">
        <v>113</v>
      </c>
      <c r="I57" s="73" t="s">
        <v>114</v>
      </c>
      <c r="J57" s="73"/>
      <c r="K57" s="73"/>
      <c r="L57" s="73"/>
      <c r="M57" s="73"/>
      <c r="N57" s="73"/>
      <c r="O57" s="73"/>
      <c r="P57" s="73"/>
      <c r="Q57" s="73"/>
      <c r="R57" s="73"/>
      <c r="S57" s="73"/>
      <c r="T57" s="73"/>
      <c r="U57" s="73"/>
      <c r="V57" s="73"/>
      <c r="W57" s="73"/>
      <c r="X57" s="73"/>
      <c r="Y57" s="73"/>
      <c r="Z57" s="73"/>
      <c r="AA57" s="73"/>
    </row>
    <row r="58" spans="1:27" s="77" customFormat="1" ht="44.25" customHeight="1">
      <c r="A58" s="72" t="s">
        <v>296</v>
      </c>
      <c r="B58" s="81" t="s">
        <v>160</v>
      </c>
      <c r="C58" s="78">
        <f t="array" ref="C58">INDEX(PNTsourcedata,MATCH(B58,FROPTsourcedata,0))</f>
        <v>2</v>
      </c>
      <c r="D58" s="72" t="s">
        <v>153</v>
      </c>
      <c r="E58" s="72" t="s">
        <v>159</v>
      </c>
      <c r="F58" s="72" t="s">
        <v>161</v>
      </c>
      <c r="G58" s="72" t="s">
        <v>163</v>
      </c>
      <c r="H58" s="72"/>
      <c r="I58" s="73" t="s">
        <v>114</v>
      </c>
      <c r="J58" s="73"/>
      <c r="K58" s="73"/>
      <c r="L58" s="73"/>
      <c r="M58" s="73"/>
      <c r="N58" s="73"/>
      <c r="O58" s="73"/>
      <c r="P58" s="73"/>
      <c r="Q58" s="73"/>
      <c r="R58" s="73"/>
      <c r="S58" s="73"/>
      <c r="T58" s="73"/>
      <c r="U58" s="73"/>
      <c r="V58" s="73"/>
      <c r="W58" s="73"/>
      <c r="X58" s="73"/>
      <c r="Y58" s="73"/>
      <c r="Z58" s="73"/>
      <c r="AA58" s="73"/>
    </row>
    <row r="59" spans="1:27" s="77" customFormat="1" ht="44.25" customHeight="1">
      <c r="A59" s="72" t="s">
        <v>200</v>
      </c>
      <c r="B59" s="81" t="s">
        <v>164</v>
      </c>
      <c r="C59" s="78">
        <f t="array" ref="C59">INDEX(PNTsourcedata,MATCH(B59,FROPTsourcedata,0))</f>
        <v>4</v>
      </c>
      <c r="D59" s="72" t="s">
        <v>153</v>
      </c>
      <c r="E59" s="72" t="s">
        <v>201</v>
      </c>
      <c r="F59" s="72" t="s">
        <v>202</v>
      </c>
      <c r="G59" s="72" t="s">
        <v>203</v>
      </c>
      <c r="H59" s="72"/>
      <c r="I59" s="73"/>
      <c r="J59" s="73"/>
      <c r="K59" s="73"/>
      <c r="L59" s="73"/>
      <c r="M59" s="73"/>
      <c r="N59" s="73"/>
      <c r="O59" s="73"/>
      <c r="P59" s="73"/>
      <c r="Q59" s="73"/>
      <c r="R59" s="73"/>
      <c r="S59" s="73"/>
      <c r="T59" s="73"/>
      <c r="U59" s="73"/>
      <c r="V59" s="73"/>
      <c r="W59" s="73"/>
      <c r="X59" s="73"/>
      <c r="Y59" s="73"/>
      <c r="Z59" s="73"/>
      <c r="AA59" s="73"/>
    </row>
    <row r="60" spans="1:27" ht="12.75">
      <c r="A60" s="44" t="s">
        <v>205</v>
      </c>
      <c r="B60" s="89"/>
      <c r="C60" s="50"/>
      <c r="D60" s="51"/>
      <c r="E60" s="51"/>
      <c r="F60" s="51"/>
      <c r="G60" s="51"/>
      <c r="H60" s="51"/>
      <c r="I60" s="51"/>
      <c r="J60" s="3"/>
      <c r="K60" s="3"/>
      <c r="L60" s="3"/>
      <c r="M60" s="3"/>
      <c r="N60" s="3"/>
      <c r="O60" s="3"/>
      <c r="P60" s="3"/>
      <c r="Q60" s="3"/>
      <c r="R60" s="3"/>
      <c r="S60" s="3"/>
      <c r="T60" s="3"/>
      <c r="U60" s="3"/>
      <c r="V60" s="3"/>
      <c r="W60" s="3"/>
      <c r="X60" s="3"/>
      <c r="Y60" s="3"/>
      <c r="Z60" s="3"/>
      <c r="AA60" s="3"/>
    </row>
    <row r="61" spans="1:27" ht="38.25">
      <c r="A61" s="10" t="s">
        <v>297</v>
      </c>
      <c r="B61" s="70" t="s">
        <v>277</v>
      </c>
      <c r="C61" s="25">
        <f>IF(EXACT(B61, "VRAI"),PNTYes1,0)</f>
        <v>1</v>
      </c>
      <c r="D61" s="46"/>
      <c r="E61" s="46"/>
      <c r="F61" s="46"/>
      <c r="G61" s="10" t="s">
        <v>110</v>
      </c>
      <c r="H61" s="10" t="s">
        <v>113</v>
      </c>
      <c r="I61" s="10" t="s">
        <v>114</v>
      </c>
      <c r="J61" s="3"/>
      <c r="K61" s="3"/>
      <c r="L61" s="3"/>
      <c r="M61" s="3"/>
      <c r="N61" s="3"/>
      <c r="O61" s="3"/>
      <c r="P61" s="3"/>
      <c r="Q61" s="3"/>
      <c r="R61" s="3"/>
      <c r="S61" s="3"/>
      <c r="T61" s="3"/>
      <c r="U61" s="3"/>
      <c r="V61" s="3"/>
      <c r="W61" s="3"/>
      <c r="X61" s="3"/>
      <c r="Y61" s="3"/>
      <c r="Z61" s="3"/>
      <c r="AA61" s="3"/>
    </row>
    <row r="62" spans="1:27" ht="25.5">
      <c r="A62" s="10" t="s">
        <v>284</v>
      </c>
      <c r="B62" s="90" t="s">
        <v>167</v>
      </c>
      <c r="C62" s="39">
        <f t="array" ref="C62">INDEX(PNTunstructdata,MATCH(B62,FROPTunstructdata,0))</f>
        <v>2</v>
      </c>
      <c r="D62" s="46"/>
      <c r="E62" s="10" t="s">
        <v>166</v>
      </c>
      <c r="F62" s="46"/>
      <c r="G62" s="10" t="s">
        <v>170</v>
      </c>
      <c r="H62" s="3"/>
      <c r="I62" s="3"/>
      <c r="J62" s="3"/>
      <c r="K62" s="3"/>
      <c r="L62" s="3"/>
      <c r="M62" s="3"/>
      <c r="N62" s="3"/>
      <c r="O62" s="3"/>
      <c r="P62" s="3"/>
      <c r="Q62" s="3"/>
      <c r="R62" s="3"/>
      <c r="S62" s="3"/>
      <c r="T62" s="3"/>
      <c r="U62" s="3"/>
      <c r="V62" s="3"/>
      <c r="W62" s="3"/>
      <c r="X62" s="3"/>
      <c r="Y62" s="3"/>
      <c r="Z62" s="3"/>
      <c r="AA62" s="3"/>
    </row>
    <row r="63" spans="1:27" ht="30">
      <c r="A63" s="52" t="s">
        <v>209</v>
      </c>
      <c r="B63" s="91">
        <f>SUM(C26:C62)</f>
        <v>32</v>
      </c>
      <c r="C63" s="53">
        <f>SUM(C26:C62)</f>
        <v>32</v>
      </c>
      <c r="D63" s="54" t="s">
        <v>212</v>
      </c>
      <c r="E63" s="3"/>
      <c r="F63" s="3"/>
      <c r="G63" s="3"/>
      <c r="H63" s="3"/>
      <c r="I63" s="3"/>
      <c r="J63" s="3"/>
      <c r="K63" s="3"/>
      <c r="L63" s="3"/>
      <c r="M63" s="3"/>
      <c r="N63" s="3"/>
      <c r="O63" s="3"/>
      <c r="P63" s="3"/>
      <c r="Q63" s="3"/>
      <c r="R63" s="3"/>
      <c r="S63" s="3"/>
      <c r="T63" s="3"/>
      <c r="U63" s="3"/>
      <c r="V63" s="3"/>
      <c r="W63" s="3"/>
      <c r="X63" s="3"/>
      <c r="Y63" s="3"/>
      <c r="Z63" s="3"/>
      <c r="AA63" s="3"/>
    </row>
    <row r="64" spans="1:27" ht="12.75">
      <c r="C64" s="55"/>
    </row>
    <row r="65" spans="1:27" ht="12.75">
      <c r="A65" s="30" t="s">
        <v>214</v>
      </c>
      <c r="B65" s="86"/>
      <c r="C65" s="30"/>
      <c r="D65" s="56" t="s">
        <v>216</v>
      </c>
      <c r="E65" s="56" t="s">
        <v>217</v>
      </c>
      <c r="F65" s="56" t="s">
        <v>218</v>
      </c>
      <c r="G65" s="5"/>
      <c r="H65" s="3"/>
      <c r="I65" s="3"/>
      <c r="J65" s="3"/>
      <c r="K65" s="3"/>
      <c r="L65" s="3"/>
      <c r="M65" s="3"/>
      <c r="N65" s="3"/>
      <c r="O65" s="3"/>
      <c r="P65" s="3"/>
      <c r="Q65" s="3"/>
      <c r="R65" s="3"/>
      <c r="S65" s="3"/>
      <c r="T65" s="3"/>
      <c r="U65" s="3"/>
      <c r="V65" s="3"/>
      <c r="W65" s="3"/>
      <c r="X65" s="3"/>
      <c r="Y65" s="3"/>
      <c r="Z65" s="3"/>
      <c r="AA65" s="3"/>
    </row>
    <row r="66" spans="1:27" ht="12.75">
      <c r="A66" s="13" t="s">
        <v>219</v>
      </c>
      <c r="B66" s="84"/>
      <c r="C66" s="57"/>
      <c r="D66" s="58"/>
      <c r="E66" s="58"/>
      <c r="F66" s="58"/>
      <c r="G66" s="58"/>
      <c r="H66" s="3"/>
      <c r="I66" s="3"/>
      <c r="J66" s="3"/>
      <c r="K66" s="3"/>
      <c r="L66" s="3"/>
      <c r="M66" s="3"/>
      <c r="N66" s="3"/>
      <c r="O66" s="3"/>
      <c r="P66" s="3"/>
      <c r="Q66" s="3"/>
      <c r="R66" s="3"/>
      <c r="S66" s="3"/>
      <c r="T66" s="3"/>
      <c r="U66" s="3"/>
      <c r="V66" s="3"/>
      <c r="W66" s="3"/>
      <c r="X66" s="3"/>
      <c r="Y66" s="3"/>
      <c r="Z66" s="3"/>
      <c r="AA66" s="3"/>
    </row>
    <row r="67" spans="1:27" ht="89.25">
      <c r="A67" s="5" t="s">
        <v>221</v>
      </c>
      <c r="B67" s="70" t="s">
        <v>277</v>
      </c>
      <c r="C67" s="25">
        <f t="shared" ref="C67:C72" si="0">IF(EXACT(B67, "VRAI"),PNTYes1,0)</f>
        <v>1</v>
      </c>
      <c r="D67" s="10" t="s">
        <v>113</v>
      </c>
      <c r="E67" s="46"/>
      <c r="F67" s="10" t="s">
        <v>110</v>
      </c>
      <c r="G67" s="3"/>
      <c r="H67" s="3"/>
      <c r="I67" s="3"/>
      <c r="J67" s="3"/>
      <c r="K67" s="3"/>
      <c r="L67" s="3"/>
      <c r="M67" s="3"/>
      <c r="N67" s="3"/>
      <c r="O67" s="3"/>
      <c r="P67" s="3"/>
      <c r="Q67" s="3"/>
      <c r="R67" s="3"/>
      <c r="S67" s="3"/>
      <c r="T67" s="3"/>
      <c r="U67" s="3"/>
      <c r="V67" s="3"/>
      <c r="W67" s="3"/>
      <c r="X67" s="3"/>
      <c r="Y67" s="3"/>
      <c r="Z67" s="3"/>
      <c r="AA67" s="3"/>
    </row>
    <row r="68" spans="1:27" ht="76.5">
      <c r="A68" s="5" t="s">
        <v>223</v>
      </c>
      <c r="B68" s="70" t="s">
        <v>277</v>
      </c>
      <c r="C68" s="25">
        <f t="shared" si="0"/>
        <v>1</v>
      </c>
      <c r="D68" s="10" t="s">
        <v>113</v>
      </c>
      <c r="E68" s="10" t="s">
        <v>110</v>
      </c>
      <c r="F68" s="59"/>
      <c r="G68" s="3"/>
    </row>
    <row r="69" spans="1:27" ht="51">
      <c r="A69" s="5" t="s">
        <v>226</v>
      </c>
      <c r="B69" s="70" t="s">
        <v>277</v>
      </c>
      <c r="C69" s="25">
        <f t="shared" si="0"/>
        <v>1</v>
      </c>
      <c r="D69" s="10" t="s">
        <v>113</v>
      </c>
      <c r="E69" s="10" t="s">
        <v>110</v>
      </c>
      <c r="F69" s="46"/>
      <c r="G69" s="3"/>
    </row>
    <row r="70" spans="1:27" ht="38.25">
      <c r="A70" s="5" t="s">
        <v>279</v>
      </c>
      <c r="B70" s="70" t="s">
        <v>277</v>
      </c>
      <c r="C70" s="25">
        <f t="shared" si="0"/>
        <v>1</v>
      </c>
      <c r="D70" s="10" t="s">
        <v>113</v>
      </c>
      <c r="E70" s="46"/>
      <c r="F70" s="10" t="s">
        <v>110</v>
      </c>
      <c r="G70" s="3"/>
    </row>
    <row r="71" spans="1:27" ht="63.75">
      <c r="A71" s="5" t="s">
        <v>228</v>
      </c>
      <c r="B71" s="70" t="s">
        <v>277</v>
      </c>
      <c r="C71" s="25">
        <f t="shared" si="0"/>
        <v>1</v>
      </c>
      <c r="D71" s="10" t="s">
        <v>113</v>
      </c>
      <c r="E71" s="59"/>
      <c r="F71" s="10" t="s">
        <v>110</v>
      </c>
    </row>
    <row r="72" spans="1:27" ht="51">
      <c r="A72" s="5" t="s">
        <v>230</v>
      </c>
      <c r="B72" s="70" t="s">
        <v>277</v>
      </c>
      <c r="C72" s="25">
        <f t="shared" si="0"/>
        <v>1</v>
      </c>
      <c r="D72" s="5" t="s">
        <v>113</v>
      </c>
      <c r="E72" s="45"/>
      <c r="F72" s="5" t="s">
        <v>110</v>
      </c>
      <c r="G72" s="60"/>
      <c r="H72" s="24"/>
      <c r="I72" s="24"/>
      <c r="J72" s="24"/>
      <c r="K72" s="24"/>
      <c r="L72" s="24"/>
      <c r="M72" s="24"/>
      <c r="N72" s="24"/>
      <c r="O72" s="24"/>
      <c r="P72" s="24"/>
      <c r="Q72" s="24"/>
      <c r="R72" s="24"/>
      <c r="S72" s="24"/>
      <c r="T72" s="24"/>
      <c r="U72" s="24"/>
      <c r="V72" s="24"/>
      <c r="W72" s="24"/>
      <c r="X72" s="24"/>
      <c r="Y72" s="24"/>
      <c r="Z72" s="24"/>
      <c r="AA72" s="24"/>
    </row>
    <row r="73" spans="1:27" ht="12.75">
      <c r="A73" s="13" t="s">
        <v>233</v>
      </c>
      <c r="B73" s="84"/>
      <c r="C73" s="57"/>
      <c r="D73" s="58"/>
      <c r="E73" s="13"/>
      <c r="F73" s="58"/>
      <c r="G73" s="58"/>
    </row>
    <row r="74" spans="1:27" ht="76.5">
      <c r="A74" s="5" t="s">
        <v>234</v>
      </c>
      <c r="B74" s="70" t="s">
        <v>277</v>
      </c>
      <c r="C74" s="25">
        <f t="shared" ref="C74:C85" si="1">IF(EXACT(B74, "VRAI"),PNTYes1,0)</f>
        <v>1</v>
      </c>
      <c r="D74" s="10" t="s">
        <v>113</v>
      </c>
      <c r="E74" s="46"/>
      <c r="F74" s="10" t="s">
        <v>110</v>
      </c>
      <c r="G74" s="3"/>
    </row>
    <row r="75" spans="1:27" ht="76.5">
      <c r="A75" s="5" t="s">
        <v>236</v>
      </c>
      <c r="B75" s="70" t="s">
        <v>277</v>
      </c>
      <c r="C75" s="25">
        <f t="shared" si="1"/>
        <v>1</v>
      </c>
      <c r="D75" s="10" t="s">
        <v>113</v>
      </c>
      <c r="E75" s="46"/>
      <c r="F75" s="10" t="s">
        <v>110</v>
      </c>
      <c r="G75" s="3"/>
    </row>
    <row r="76" spans="1:27" ht="76.5">
      <c r="A76" s="5" t="s">
        <v>239</v>
      </c>
      <c r="B76" s="70" t="s">
        <v>277</v>
      </c>
      <c r="C76" s="25">
        <f t="shared" si="1"/>
        <v>1</v>
      </c>
      <c r="D76" s="10" t="s">
        <v>113</v>
      </c>
      <c r="E76" s="10" t="s">
        <v>110</v>
      </c>
      <c r="F76" s="46"/>
      <c r="G76" s="3"/>
    </row>
    <row r="77" spans="1:27" ht="76.5">
      <c r="A77" s="5" t="s">
        <v>241</v>
      </c>
      <c r="B77" s="70" t="s">
        <v>277</v>
      </c>
      <c r="C77" s="25">
        <f t="shared" si="1"/>
        <v>1</v>
      </c>
      <c r="D77" s="10" t="s">
        <v>113</v>
      </c>
      <c r="E77" s="10" t="s">
        <v>110</v>
      </c>
      <c r="F77" s="46"/>
      <c r="G77" s="3"/>
    </row>
    <row r="78" spans="1:27" ht="76.5">
      <c r="A78" s="5" t="s">
        <v>243</v>
      </c>
      <c r="B78" s="70" t="s">
        <v>277</v>
      </c>
      <c r="C78" s="25">
        <f t="shared" si="1"/>
        <v>1</v>
      </c>
      <c r="D78" s="10" t="s">
        <v>113</v>
      </c>
      <c r="E78" s="46"/>
      <c r="F78" s="10" t="s">
        <v>110</v>
      </c>
      <c r="G78" s="3"/>
    </row>
    <row r="79" spans="1:27" ht="89.25">
      <c r="A79" s="5" t="s">
        <v>245</v>
      </c>
      <c r="B79" s="70" t="s">
        <v>277</v>
      </c>
      <c r="C79" s="25">
        <f t="shared" si="1"/>
        <v>1</v>
      </c>
      <c r="D79" s="10" t="s">
        <v>113</v>
      </c>
      <c r="E79" s="10" t="s">
        <v>110</v>
      </c>
      <c r="F79" s="46"/>
      <c r="G79" s="3"/>
    </row>
    <row r="80" spans="1:27" ht="76.5">
      <c r="A80" s="5" t="s">
        <v>247</v>
      </c>
      <c r="B80" s="70" t="s">
        <v>277</v>
      </c>
      <c r="C80" s="25">
        <f t="shared" si="1"/>
        <v>1</v>
      </c>
      <c r="D80" s="10" t="s">
        <v>113</v>
      </c>
      <c r="E80" s="10" t="s">
        <v>110</v>
      </c>
      <c r="F80" s="46"/>
      <c r="G80" s="3"/>
    </row>
    <row r="81" spans="1:7" ht="76.5">
      <c r="A81" s="5" t="s">
        <v>249</v>
      </c>
      <c r="B81" s="70" t="s">
        <v>277</v>
      </c>
      <c r="C81" s="25">
        <f t="shared" si="1"/>
        <v>1</v>
      </c>
      <c r="D81" s="10" t="s">
        <v>113</v>
      </c>
      <c r="E81" s="46"/>
      <c r="F81" s="10" t="s">
        <v>110</v>
      </c>
      <c r="G81" s="3"/>
    </row>
    <row r="82" spans="1:7" ht="76.5">
      <c r="A82" s="10" t="s">
        <v>251</v>
      </c>
      <c r="B82" s="70" t="s">
        <v>277</v>
      </c>
      <c r="C82" s="25">
        <f t="shared" si="1"/>
        <v>1</v>
      </c>
      <c r="D82" s="10" t="s">
        <v>113</v>
      </c>
      <c r="E82" s="45"/>
      <c r="F82" s="10" t="s">
        <v>110</v>
      </c>
      <c r="G82" s="3"/>
    </row>
    <row r="83" spans="1:7" ht="76.5">
      <c r="A83" s="10" t="s">
        <v>253</v>
      </c>
      <c r="B83" s="70" t="s">
        <v>277</v>
      </c>
      <c r="C83" s="25">
        <f t="shared" si="1"/>
        <v>1</v>
      </c>
      <c r="D83" s="10" t="s">
        <v>113</v>
      </c>
      <c r="E83" s="10" t="s">
        <v>110</v>
      </c>
      <c r="F83" s="46"/>
      <c r="G83" s="3"/>
    </row>
    <row r="84" spans="1:7" ht="102">
      <c r="A84" s="10" t="s">
        <v>255</v>
      </c>
      <c r="B84" s="70" t="s">
        <v>277</v>
      </c>
      <c r="C84" s="25">
        <f t="shared" si="1"/>
        <v>1</v>
      </c>
      <c r="D84" s="10" t="s">
        <v>113</v>
      </c>
      <c r="E84" s="46"/>
      <c r="F84" s="10" t="s">
        <v>110</v>
      </c>
      <c r="G84" s="3"/>
    </row>
    <row r="85" spans="1:7" ht="89.25">
      <c r="A85" s="10" t="s">
        <v>257</v>
      </c>
      <c r="B85" s="70" t="s">
        <v>277</v>
      </c>
      <c r="C85" s="25">
        <f t="shared" si="1"/>
        <v>1</v>
      </c>
      <c r="D85" s="10" t="s">
        <v>113</v>
      </c>
      <c r="E85" s="10" t="s">
        <v>110</v>
      </c>
      <c r="F85" s="46"/>
      <c r="G85" s="3"/>
    </row>
    <row r="86" spans="1:7" ht="30">
      <c r="A86" s="52" t="s">
        <v>259</v>
      </c>
      <c r="B86" s="93">
        <f>SUM(C67:C85)</f>
        <v>18</v>
      </c>
      <c r="C86" s="29">
        <f>SUM(C67:C85)</f>
        <v>18</v>
      </c>
      <c r="D86" s="54" t="s">
        <v>262</v>
      </c>
      <c r="E86" s="10" t="s">
        <v>263</v>
      </c>
      <c r="F86" s="3"/>
      <c r="G86" s="3"/>
    </row>
    <row r="87" spans="1:7" ht="12.75">
      <c r="A87" s="3"/>
      <c r="B87" s="85"/>
      <c r="C87" s="25"/>
      <c r="D87" s="62">
        <v>0.8</v>
      </c>
      <c r="E87" s="10">
        <v>28</v>
      </c>
      <c r="F87" s="3"/>
      <c r="G87" s="3"/>
    </row>
    <row r="88" spans="1:7" ht="30">
      <c r="A88" s="52" t="s">
        <v>264</v>
      </c>
      <c r="B88" s="94">
        <f>IF(B86&gt;=(PNTthresholdMitigation*PNTmaxMitigation),B63-10,B63)</f>
        <v>32</v>
      </c>
      <c r="C88" s="39">
        <f>IF(C86&gt;=(D87*E87),C63-10,C63)</f>
        <v>32</v>
      </c>
      <c r="D88" s="54" t="s">
        <v>266</v>
      </c>
      <c r="E88" s="3"/>
      <c r="F88" s="3"/>
      <c r="G88" s="3"/>
    </row>
    <row r="89" spans="1:7" ht="12.75">
      <c r="A89" s="3"/>
      <c r="B89" s="85"/>
      <c r="C89" s="8"/>
      <c r="D89" s="3"/>
      <c r="E89" s="3"/>
      <c r="F89" s="3"/>
      <c r="G89" s="3"/>
    </row>
    <row r="90" spans="1:7" ht="30">
      <c r="A90" s="52" t="s">
        <v>267</v>
      </c>
      <c r="B90" s="95" t="str">
        <f>IF(AND(B88&gt;=C95,B88&lt;=C96),"1",IF(AND(B88&gt;=C100, B88&lt;=C101),"2", IF(AND(B88&gt;=C105, B88&lt;=C106),"3",IF(AND(B88&gt;=C110,B88&lt;=C111),"4","Error, contact admin"))))</f>
        <v>2</v>
      </c>
      <c r="C90" s="29"/>
      <c r="D90" s="3"/>
      <c r="E90" s="3"/>
      <c r="F90" s="3"/>
      <c r="G90" s="3"/>
    </row>
    <row r="91" spans="1:7" ht="12.75">
      <c r="A91" s="3"/>
      <c r="B91" s="85"/>
      <c r="C91" s="8"/>
      <c r="D91" s="3"/>
      <c r="E91" s="3"/>
      <c r="F91" s="3"/>
      <c r="G91" s="3"/>
    </row>
    <row r="92" spans="1:7" ht="12.75">
      <c r="A92" s="3"/>
      <c r="B92" s="85"/>
      <c r="C92" s="8"/>
      <c r="D92" s="3"/>
      <c r="E92" s="3"/>
      <c r="F92" s="3"/>
      <c r="G92" s="3"/>
    </row>
    <row r="93" spans="1:7">
      <c r="A93" s="3"/>
      <c r="B93" s="96"/>
      <c r="C93" s="66" t="s">
        <v>269</v>
      </c>
      <c r="G93" s="3"/>
    </row>
    <row r="94" spans="1:7" ht="12.75">
      <c r="A94" s="3"/>
      <c r="C94" s="67" t="s">
        <v>270</v>
      </c>
      <c r="G94" s="3"/>
    </row>
    <row r="95" spans="1:7" ht="12.75">
      <c r="A95" s="3"/>
      <c r="B95" s="85"/>
      <c r="C95" s="25">
        <v>0</v>
      </c>
      <c r="G95" s="3"/>
    </row>
    <row r="96" spans="1:7" ht="12.75">
      <c r="A96" s="3"/>
      <c r="B96" s="85"/>
      <c r="C96" s="25">
        <v>18</v>
      </c>
      <c r="G96" s="3"/>
    </row>
    <row r="97" spans="1:7" ht="12.75">
      <c r="A97" s="3"/>
      <c r="B97" s="85"/>
      <c r="C97" s="8"/>
      <c r="D97" s="3"/>
      <c r="E97" s="3"/>
      <c r="F97" s="3"/>
      <c r="G97" s="3"/>
    </row>
    <row r="98" spans="1:7">
      <c r="A98" s="3"/>
      <c r="B98" s="85"/>
      <c r="C98" s="66" t="s">
        <v>271</v>
      </c>
      <c r="D98" s="3"/>
      <c r="E98" s="3"/>
      <c r="F98" s="3"/>
      <c r="G98" s="3"/>
    </row>
    <row r="99" spans="1:7" ht="12.75">
      <c r="A99" s="3"/>
      <c r="B99" s="85"/>
      <c r="C99" s="68" t="s">
        <v>272</v>
      </c>
      <c r="D99" s="3"/>
      <c r="E99" s="3"/>
      <c r="F99" s="3"/>
      <c r="G99" s="3"/>
    </row>
    <row r="100" spans="1:7" ht="12.75">
      <c r="A100" s="3"/>
      <c r="B100" s="85"/>
      <c r="C100" s="10">
        <v>19</v>
      </c>
      <c r="D100" s="3"/>
      <c r="E100" s="3"/>
      <c r="F100" s="3"/>
      <c r="G100" s="3"/>
    </row>
    <row r="101" spans="1:7" ht="12.75">
      <c r="A101" s="3"/>
      <c r="B101" s="85"/>
      <c r="C101" s="10">
        <v>36</v>
      </c>
      <c r="D101" s="3"/>
      <c r="E101" s="3"/>
      <c r="F101" s="3"/>
      <c r="G101" s="3"/>
    </row>
    <row r="102" spans="1:7" ht="12.75">
      <c r="A102" s="3"/>
      <c r="B102" s="85"/>
      <c r="C102" s="8"/>
      <c r="D102" s="3"/>
      <c r="E102" s="3"/>
      <c r="F102" s="3"/>
      <c r="G102" s="3"/>
    </row>
    <row r="103" spans="1:7">
      <c r="A103" s="3"/>
      <c r="B103" s="85"/>
      <c r="C103" s="66" t="s">
        <v>273</v>
      </c>
      <c r="D103" s="3"/>
      <c r="E103" s="3"/>
      <c r="F103" s="3"/>
      <c r="G103" s="3"/>
    </row>
    <row r="104" spans="1:7" ht="12.75">
      <c r="A104" s="3"/>
      <c r="B104" s="85"/>
      <c r="C104" s="68" t="s">
        <v>274</v>
      </c>
      <c r="D104" s="3"/>
      <c r="E104" s="3"/>
      <c r="F104" s="3"/>
      <c r="G104" s="3"/>
    </row>
    <row r="105" spans="1:7" ht="12.75">
      <c r="A105" s="3"/>
      <c r="B105" s="85"/>
      <c r="C105" s="10">
        <v>37</v>
      </c>
      <c r="D105" s="3"/>
      <c r="E105" s="3"/>
      <c r="F105" s="3"/>
      <c r="G105" s="3"/>
    </row>
    <row r="106" spans="1:7" ht="12.75">
      <c r="A106" s="3"/>
      <c r="B106" s="85"/>
      <c r="C106" s="10">
        <v>54</v>
      </c>
      <c r="D106" s="3"/>
      <c r="E106" s="3"/>
      <c r="F106" s="3"/>
      <c r="G106" s="3"/>
    </row>
    <row r="107" spans="1:7" ht="12.75">
      <c r="A107" s="3"/>
      <c r="B107" s="85"/>
      <c r="C107" s="8"/>
      <c r="D107" s="3"/>
      <c r="E107" s="3"/>
      <c r="F107" s="3"/>
      <c r="G107" s="3"/>
    </row>
    <row r="108" spans="1:7">
      <c r="A108" s="3"/>
      <c r="B108" s="85"/>
      <c r="C108" s="66" t="s">
        <v>275</v>
      </c>
      <c r="D108" s="3"/>
      <c r="E108" s="3"/>
      <c r="F108" s="3"/>
      <c r="G108" s="3"/>
    </row>
    <row r="109" spans="1:7" ht="12.75">
      <c r="A109" s="3"/>
      <c r="B109" s="85"/>
      <c r="C109" s="68" t="s">
        <v>276</v>
      </c>
      <c r="D109" s="3"/>
      <c r="E109" s="3"/>
      <c r="F109" s="3"/>
      <c r="G109" s="3"/>
    </row>
    <row r="110" spans="1:7" ht="12.75">
      <c r="A110" s="3"/>
      <c r="B110" s="85"/>
      <c r="C110" s="10">
        <v>55</v>
      </c>
      <c r="D110" s="3"/>
      <c r="E110" s="3"/>
      <c r="F110" s="3"/>
      <c r="G110" s="3"/>
    </row>
    <row r="111" spans="1:7" ht="12.75">
      <c r="A111" s="3"/>
      <c r="B111" s="85"/>
      <c r="C111" s="10">
        <v>72</v>
      </c>
      <c r="D111" s="3"/>
      <c r="E111" s="3"/>
      <c r="F111" s="3"/>
      <c r="G111" s="3"/>
    </row>
    <row r="112" spans="1:7" ht="12.75">
      <c r="A112" s="3"/>
      <c r="B112" s="85"/>
      <c r="C112" s="8"/>
      <c r="D112" s="3"/>
      <c r="E112" s="3"/>
      <c r="F112" s="3"/>
      <c r="G112" s="3"/>
    </row>
    <row r="113" spans="1:7" ht="12.75">
      <c r="A113" s="3"/>
      <c r="B113" s="85"/>
      <c r="C113" s="8"/>
      <c r="D113" s="3"/>
      <c r="E113" s="3"/>
      <c r="F113" s="3"/>
      <c r="G113" s="3"/>
    </row>
    <row r="114" spans="1:7" ht="12.75">
      <c r="A114" s="3"/>
      <c r="B114" s="85"/>
      <c r="C114" s="8"/>
      <c r="D114" s="3"/>
      <c r="E114" s="3"/>
      <c r="F114" s="3"/>
      <c r="G114" s="3"/>
    </row>
    <row r="115" spans="1:7" ht="12.75">
      <c r="A115" s="3"/>
      <c r="B115" s="85"/>
      <c r="C115" s="8"/>
      <c r="D115" s="3"/>
      <c r="E115" s="3"/>
      <c r="F115" s="3"/>
      <c r="G115" s="3"/>
    </row>
    <row r="116" spans="1:7" ht="12.75">
      <c r="A116" s="3"/>
      <c r="B116" s="85"/>
      <c r="C116" s="8"/>
      <c r="D116" s="3"/>
      <c r="E116" s="3"/>
      <c r="F116" s="3"/>
      <c r="G116" s="3"/>
    </row>
    <row r="117" spans="1:7" ht="12.75">
      <c r="A117" s="3"/>
      <c r="B117" s="85"/>
      <c r="C117" s="8"/>
      <c r="D117" s="3"/>
      <c r="E117" s="3"/>
      <c r="F117" s="3"/>
      <c r="G117" s="3"/>
    </row>
    <row r="118" spans="1:7" ht="12.75">
      <c r="A118" s="3"/>
      <c r="B118" s="85"/>
      <c r="C118" s="8"/>
      <c r="D118" s="3"/>
      <c r="E118" s="3"/>
      <c r="F118" s="3"/>
      <c r="G118" s="3"/>
    </row>
    <row r="119" spans="1:7" ht="12.75">
      <c r="A119" s="3"/>
      <c r="B119" s="85"/>
      <c r="C119" s="8"/>
      <c r="D119" s="3"/>
      <c r="E119" s="3"/>
      <c r="F119" s="3"/>
      <c r="G119" s="3"/>
    </row>
    <row r="120" spans="1:7" ht="12.75">
      <c r="A120" s="3"/>
      <c r="B120" s="85"/>
      <c r="C120" s="8"/>
      <c r="D120" s="3"/>
      <c r="E120" s="3"/>
      <c r="F120" s="3"/>
      <c r="G120" s="3"/>
    </row>
    <row r="121" spans="1:7" ht="12.75">
      <c r="A121" s="3"/>
      <c r="B121" s="85"/>
      <c r="C121" s="8"/>
      <c r="D121" s="3"/>
      <c r="E121" s="3"/>
      <c r="F121" s="3"/>
      <c r="G121" s="3"/>
    </row>
    <row r="122" spans="1:7" ht="12.75">
      <c r="A122" s="3"/>
      <c r="B122" s="85"/>
      <c r="C122" s="8"/>
      <c r="D122" s="3"/>
      <c r="E122" s="3"/>
      <c r="F122" s="3"/>
      <c r="G122" s="3"/>
    </row>
    <row r="123" spans="1:7" ht="12.75">
      <c r="A123" s="3"/>
      <c r="B123" s="85"/>
      <c r="C123" s="8"/>
      <c r="D123" s="3"/>
      <c r="E123" s="3"/>
      <c r="F123" s="3"/>
      <c r="G123" s="3"/>
    </row>
    <row r="124" spans="1:7" ht="12.75">
      <c r="A124" s="3"/>
      <c r="B124" s="85"/>
      <c r="C124" s="8"/>
      <c r="D124" s="3"/>
      <c r="E124" s="3"/>
      <c r="F124" s="3"/>
      <c r="G124" s="3"/>
    </row>
    <row r="125" spans="1:7" ht="12.75">
      <c r="A125" s="3"/>
      <c r="B125" s="85"/>
      <c r="C125" s="8"/>
      <c r="D125" s="3"/>
      <c r="E125" s="3"/>
      <c r="F125" s="3"/>
      <c r="G125" s="3"/>
    </row>
    <row r="126" spans="1:7" ht="12.75">
      <c r="A126" s="3"/>
      <c r="B126" s="85"/>
      <c r="C126" s="8"/>
      <c r="D126" s="3"/>
      <c r="E126" s="3"/>
      <c r="F126" s="3"/>
      <c r="G126" s="3"/>
    </row>
    <row r="127" spans="1:7" ht="12.75">
      <c r="A127" s="3"/>
      <c r="B127" s="85"/>
      <c r="C127" s="8"/>
      <c r="D127" s="3"/>
      <c r="E127" s="3"/>
      <c r="F127" s="3"/>
      <c r="G127" s="3"/>
    </row>
    <row r="128" spans="1:7" ht="12.75">
      <c r="A128" s="3"/>
      <c r="B128" s="85"/>
      <c r="C128" s="8"/>
      <c r="D128" s="3"/>
      <c r="E128" s="3"/>
      <c r="F128" s="3"/>
      <c r="G128" s="3"/>
    </row>
    <row r="129" spans="1:7" ht="12.75">
      <c r="A129" s="3"/>
      <c r="B129" s="85"/>
      <c r="C129" s="8"/>
      <c r="D129" s="3"/>
      <c r="E129" s="3"/>
      <c r="F129" s="3"/>
      <c r="G129" s="3"/>
    </row>
    <row r="130" spans="1:7" ht="12.75">
      <c r="A130" s="3"/>
      <c r="B130" s="85"/>
      <c r="C130" s="8"/>
      <c r="D130" s="3"/>
      <c r="E130" s="3"/>
      <c r="F130" s="3"/>
      <c r="G130" s="3"/>
    </row>
    <row r="131" spans="1:7" ht="12.75">
      <c r="A131" s="3"/>
      <c r="B131" s="85"/>
      <c r="C131" s="8"/>
      <c r="D131" s="3"/>
      <c r="E131" s="3"/>
      <c r="F131" s="3"/>
      <c r="G131" s="3"/>
    </row>
    <row r="132" spans="1:7" ht="12.75">
      <c r="A132" s="3"/>
      <c r="B132" s="85"/>
      <c r="C132" s="8"/>
      <c r="D132" s="3"/>
      <c r="E132" s="3"/>
      <c r="F132" s="3"/>
      <c r="G132" s="3"/>
    </row>
    <row r="133" spans="1:7" ht="12.75">
      <c r="A133" s="3"/>
      <c r="B133" s="85"/>
      <c r="C133" s="8"/>
      <c r="D133" s="3"/>
      <c r="E133" s="3"/>
      <c r="F133" s="3"/>
      <c r="G133" s="3"/>
    </row>
    <row r="134" spans="1:7" ht="12.75">
      <c r="A134" s="3"/>
      <c r="B134" s="85"/>
      <c r="C134" s="8"/>
      <c r="D134" s="3"/>
      <c r="E134" s="3"/>
      <c r="F134" s="3"/>
      <c r="G134" s="3"/>
    </row>
    <row r="135" spans="1:7" ht="12.75">
      <c r="A135" s="3"/>
      <c r="B135" s="85"/>
      <c r="C135" s="8"/>
      <c r="D135" s="3"/>
      <c r="E135" s="3"/>
      <c r="F135" s="3"/>
      <c r="G135" s="3"/>
    </row>
    <row r="136" spans="1:7" ht="12.75">
      <c r="A136" s="3"/>
      <c r="B136" s="85"/>
      <c r="C136" s="8"/>
      <c r="D136" s="3"/>
      <c r="E136" s="3"/>
      <c r="F136" s="3"/>
      <c r="G136" s="3"/>
    </row>
    <row r="137" spans="1:7" ht="12.75">
      <c r="A137" s="3"/>
      <c r="B137" s="85"/>
      <c r="C137" s="8"/>
      <c r="D137" s="3"/>
      <c r="E137" s="3"/>
      <c r="F137" s="3"/>
      <c r="G137" s="3"/>
    </row>
    <row r="138" spans="1:7" ht="12.75">
      <c r="A138" s="3"/>
      <c r="B138" s="85"/>
      <c r="C138" s="8"/>
      <c r="D138" s="3"/>
      <c r="E138" s="3"/>
      <c r="F138" s="3"/>
      <c r="G138" s="3"/>
    </row>
    <row r="139" spans="1:7" ht="12.75">
      <c r="A139" s="3"/>
      <c r="B139" s="85"/>
      <c r="C139" s="8"/>
      <c r="D139" s="3"/>
      <c r="E139" s="3"/>
      <c r="F139" s="3"/>
      <c r="G139" s="3"/>
    </row>
    <row r="140" spans="1:7" ht="12.75">
      <c r="A140" s="3"/>
      <c r="B140" s="85"/>
      <c r="C140" s="8"/>
      <c r="D140" s="3"/>
      <c r="E140" s="3"/>
      <c r="F140" s="3"/>
      <c r="G140" s="3"/>
    </row>
    <row r="141" spans="1:7" ht="12.75">
      <c r="A141" s="3"/>
      <c r="B141" s="85"/>
      <c r="C141" s="8"/>
      <c r="D141" s="3"/>
      <c r="E141" s="3"/>
      <c r="F141" s="3"/>
      <c r="G141" s="3"/>
    </row>
    <row r="142" spans="1:7" ht="12.75">
      <c r="A142" s="3"/>
      <c r="B142" s="85"/>
      <c r="C142" s="8"/>
      <c r="D142" s="3"/>
      <c r="E142" s="3"/>
      <c r="F142" s="3"/>
      <c r="G142" s="3"/>
    </row>
    <row r="143" spans="1:7" ht="12.75">
      <c r="A143" s="3"/>
      <c r="B143" s="85"/>
      <c r="C143" s="8"/>
      <c r="D143" s="3"/>
      <c r="E143" s="3"/>
      <c r="F143" s="3"/>
      <c r="G143" s="3"/>
    </row>
    <row r="144" spans="1:7" ht="12.75">
      <c r="A144" s="3"/>
      <c r="B144" s="85"/>
      <c r="C144" s="8"/>
      <c r="D144" s="3"/>
      <c r="E144" s="3"/>
      <c r="F144" s="3"/>
      <c r="G144" s="3"/>
    </row>
    <row r="145" spans="1:7" ht="12.75">
      <c r="A145" s="3"/>
      <c r="B145" s="85"/>
      <c r="C145" s="8"/>
      <c r="D145" s="3"/>
      <c r="E145" s="3"/>
      <c r="F145" s="3"/>
      <c r="G145" s="3"/>
    </row>
    <row r="146" spans="1:7" ht="12.75">
      <c r="A146" s="3"/>
      <c r="B146" s="85"/>
      <c r="C146" s="8"/>
      <c r="D146" s="3"/>
      <c r="E146" s="3"/>
      <c r="F146" s="3"/>
      <c r="G146" s="3"/>
    </row>
    <row r="147" spans="1:7" ht="12.75">
      <c r="A147" s="3"/>
      <c r="B147" s="85"/>
      <c r="C147" s="8"/>
      <c r="D147" s="3"/>
      <c r="E147" s="3"/>
      <c r="F147" s="3"/>
      <c r="G147" s="3"/>
    </row>
    <row r="148" spans="1:7" ht="12.75">
      <c r="A148" s="3"/>
      <c r="B148" s="85"/>
      <c r="C148" s="8"/>
      <c r="D148" s="3"/>
      <c r="E148" s="3"/>
      <c r="F148" s="3"/>
      <c r="G148" s="3"/>
    </row>
    <row r="149" spans="1:7" ht="12.75">
      <c r="A149" s="3"/>
      <c r="B149" s="85"/>
      <c r="C149" s="8"/>
      <c r="D149" s="3"/>
      <c r="E149" s="3"/>
      <c r="F149" s="3"/>
      <c r="G149" s="3"/>
    </row>
    <row r="150" spans="1:7" ht="12.75">
      <c r="A150" s="3"/>
      <c r="B150" s="85"/>
      <c r="C150" s="8"/>
      <c r="D150" s="3"/>
      <c r="E150" s="3"/>
      <c r="F150" s="3"/>
      <c r="G150" s="3"/>
    </row>
    <row r="151" spans="1:7" ht="12.75">
      <c r="A151" s="3"/>
      <c r="B151" s="85"/>
      <c r="C151" s="8"/>
      <c r="D151" s="3"/>
      <c r="E151" s="3"/>
      <c r="F151" s="3"/>
      <c r="G151" s="3"/>
    </row>
    <row r="152" spans="1:7" ht="12.75">
      <c r="A152" s="3"/>
      <c r="B152" s="85"/>
      <c r="C152" s="8"/>
      <c r="D152" s="3"/>
      <c r="E152" s="3"/>
      <c r="F152" s="3"/>
      <c r="G152" s="3"/>
    </row>
    <row r="153" spans="1:7" ht="12.75">
      <c r="A153" s="3"/>
      <c r="B153" s="85"/>
      <c r="C153" s="8"/>
      <c r="D153" s="3"/>
      <c r="E153" s="3"/>
      <c r="F153" s="3"/>
      <c r="G153" s="3"/>
    </row>
    <row r="154" spans="1:7" ht="12.75">
      <c r="A154" s="3"/>
      <c r="B154" s="85"/>
      <c r="C154" s="8"/>
      <c r="D154" s="3"/>
      <c r="E154" s="3"/>
      <c r="F154" s="3"/>
      <c r="G154" s="3"/>
    </row>
    <row r="155" spans="1:7" ht="12.75">
      <c r="A155" s="3"/>
      <c r="B155" s="85"/>
      <c r="C155" s="8"/>
      <c r="D155" s="3"/>
      <c r="E155" s="3"/>
      <c r="F155" s="3"/>
      <c r="G155" s="3"/>
    </row>
    <row r="156" spans="1:7" ht="12.75">
      <c r="A156" s="3"/>
      <c r="B156" s="85"/>
      <c r="C156" s="8"/>
      <c r="D156" s="3"/>
      <c r="E156" s="3"/>
      <c r="F156" s="3"/>
      <c r="G156" s="3"/>
    </row>
    <row r="157" spans="1:7" ht="12.75">
      <c r="A157" s="3"/>
      <c r="B157" s="85"/>
      <c r="C157" s="8"/>
      <c r="D157" s="3"/>
      <c r="E157" s="3"/>
      <c r="F157" s="3"/>
      <c r="G157" s="3"/>
    </row>
    <row r="158" spans="1:7" ht="12.75">
      <c r="A158" s="3"/>
      <c r="B158" s="85"/>
      <c r="C158" s="8"/>
      <c r="D158" s="3"/>
      <c r="E158" s="3"/>
      <c r="F158" s="3"/>
      <c r="G158" s="3"/>
    </row>
    <row r="159" spans="1:7" ht="12.75">
      <c r="A159" s="3"/>
      <c r="B159" s="85"/>
      <c r="C159" s="8"/>
      <c r="D159" s="3"/>
      <c r="E159" s="3"/>
      <c r="F159" s="3"/>
      <c r="G159" s="3"/>
    </row>
    <row r="160" spans="1:7" ht="12.75">
      <c r="A160" s="3"/>
      <c r="B160" s="85"/>
      <c r="C160" s="8"/>
      <c r="D160" s="3"/>
      <c r="E160" s="3"/>
      <c r="F160" s="3"/>
      <c r="G160" s="3"/>
    </row>
    <row r="161" spans="1:7" ht="12.75">
      <c r="A161" s="3"/>
      <c r="B161" s="85"/>
      <c r="C161" s="8"/>
      <c r="D161" s="3"/>
      <c r="E161" s="3"/>
      <c r="F161" s="3"/>
      <c r="G161" s="3"/>
    </row>
    <row r="162" spans="1:7" ht="12.75">
      <c r="A162" s="3"/>
      <c r="B162" s="85"/>
      <c r="C162" s="8"/>
      <c r="D162" s="3"/>
      <c r="E162" s="3"/>
      <c r="F162" s="3"/>
      <c r="G162" s="3"/>
    </row>
    <row r="163" spans="1:7" ht="12.75">
      <c r="A163" s="3"/>
      <c r="B163" s="85"/>
      <c r="C163" s="8"/>
      <c r="D163" s="3"/>
      <c r="E163" s="3"/>
      <c r="F163" s="3"/>
      <c r="G163" s="3"/>
    </row>
    <row r="164" spans="1:7" ht="12.75">
      <c r="A164" s="3"/>
      <c r="B164" s="85"/>
      <c r="C164" s="8"/>
      <c r="D164" s="3"/>
      <c r="E164" s="3"/>
      <c r="F164" s="3"/>
      <c r="G164" s="3"/>
    </row>
    <row r="165" spans="1:7" ht="12.75">
      <c r="A165" s="3"/>
      <c r="B165" s="85"/>
      <c r="C165" s="8"/>
      <c r="D165" s="3"/>
      <c r="E165" s="3"/>
      <c r="F165" s="3"/>
      <c r="G165" s="3"/>
    </row>
    <row r="166" spans="1:7" ht="12.75">
      <c r="A166" s="3"/>
      <c r="B166" s="85"/>
      <c r="C166" s="8"/>
      <c r="D166" s="3"/>
      <c r="E166" s="3"/>
      <c r="F166" s="3"/>
      <c r="G166" s="3"/>
    </row>
    <row r="167" spans="1:7" ht="12.75">
      <c r="A167" s="3"/>
      <c r="B167" s="85"/>
      <c r="C167" s="8"/>
      <c r="D167" s="3"/>
      <c r="E167" s="3"/>
      <c r="F167" s="3"/>
      <c r="G167" s="3"/>
    </row>
    <row r="168" spans="1:7" ht="12.75">
      <c r="A168" s="3"/>
      <c r="B168" s="85"/>
      <c r="C168" s="8"/>
      <c r="D168" s="3"/>
      <c r="E168" s="3"/>
      <c r="F168" s="3"/>
      <c r="G168" s="3"/>
    </row>
    <row r="169" spans="1:7" ht="12.75">
      <c r="A169" s="3"/>
      <c r="B169" s="85"/>
      <c r="C169" s="8"/>
      <c r="D169" s="3"/>
      <c r="E169" s="3"/>
      <c r="F169" s="3"/>
      <c r="G169" s="3"/>
    </row>
    <row r="170" spans="1:7" ht="12.75">
      <c r="A170" s="3"/>
      <c r="B170" s="85"/>
      <c r="C170" s="8"/>
      <c r="D170" s="3"/>
      <c r="E170" s="3"/>
      <c r="F170" s="3"/>
      <c r="G170" s="3"/>
    </row>
    <row r="171" spans="1:7" ht="12.75">
      <c r="A171" s="3"/>
      <c r="B171" s="85"/>
      <c r="C171" s="8"/>
      <c r="D171" s="3"/>
      <c r="E171" s="3"/>
      <c r="F171" s="3"/>
      <c r="G171" s="3"/>
    </row>
    <row r="172" spans="1:7" ht="12.75">
      <c r="A172" s="3"/>
      <c r="B172" s="85"/>
      <c r="C172" s="8"/>
      <c r="D172" s="3"/>
      <c r="E172" s="3"/>
      <c r="F172" s="3"/>
      <c r="G172" s="3"/>
    </row>
    <row r="173" spans="1:7" ht="12.75">
      <c r="A173" s="3"/>
      <c r="B173" s="85"/>
      <c r="C173" s="8"/>
      <c r="D173" s="3"/>
      <c r="E173" s="3"/>
      <c r="F173" s="3"/>
      <c r="G173" s="3"/>
    </row>
    <row r="174" spans="1:7" ht="12.75">
      <c r="A174" s="3"/>
      <c r="B174" s="85"/>
      <c r="C174" s="8"/>
      <c r="D174" s="3"/>
      <c r="E174" s="3"/>
      <c r="F174" s="3"/>
      <c r="G174" s="3"/>
    </row>
    <row r="175" spans="1:7" ht="12.75">
      <c r="A175" s="3"/>
      <c r="B175" s="85"/>
      <c r="C175" s="8"/>
      <c r="D175" s="3"/>
      <c r="E175" s="3"/>
      <c r="F175" s="3"/>
      <c r="G175" s="3"/>
    </row>
    <row r="176" spans="1:7" ht="12.75">
      <c r="A176" s="3"/>
      <c r="B176" s="85"/>
      <c r="C176" s="8"/>
      <c r="D176" s="3"/>
      <c r="E176" s="3"/>
      <c r="F176" s="3"/>
      <c r="G176" s="3"/>
    </row>
    <row r="177" spans="1:7" ht="12.75">
      <c r="A177" s="3"/>
      <c r="B177" s="85"/>
      <c r="C177" s="8"/>
      <c r="D177" s="3"/>
      <c r="E177" s="3"/>
      <c r="F177" s="3"/>
      <c r="G177" s="3"/>
    </row>
    <row r="178" spans="1:7" ht="12.75">
      <c r="A178" s="3"/>
      <c r="B178" s="85"/>
      <c r="C178" s="8"/>
      <c r="D178" s="3"/>
      <c r="E178" s="3"/>
      <c r="F178" s="3"/>
      <c r="G178" s="3"/>
    </row>
    <row r="179" spans="1:7" ht="12.75">
      <c r="A179" s="3"/>
      <c r="B179" s="85"/>
      <c r="C179" s="8"/>
      <c r="D179" s="3"/>
      <c r="E179" s="3"/>
      <c r="F179" s="3"/>
      <c r="G179" s="3"/>
    </row>
    <row r="180" spans="1:7" ht="12.75">
      <c r="A180" s="3"/>
      <c r="B180" s="85"/>
      <c r="C180" s="8"/>
      <c r="D180" s="3"/>
      <c r="E180" s="3"/>
      <c r="F180" s="3"/>
      <c r="G180" s="3"/>
    </row>
    <row r="181" spans="1:7" ht="12.75">
      <c r="A181" s="3"/>
      <c r="B181" s="85"/>
      <c r="C181" s="8"/>
      <c r="D181" s="3"/>
      <c r="E181" s="3"/>
      <c r="F181" s="3"/>
      <c r="G181" s="3"/>
    </row>
    <row r="182" spans="1:7" ht="12.75">
      <c r="A182" s="3"/>
      <c r="B182" s="85"/>
      <c r="C182" s="8"/>
      <c r="D182" s="3"/>
      <c r="E182" s="3"/>
      <c r="F182" s="3"/>
      <c r="G182" s="3"/>
    </row>
    <row r="183" spans="1:7" ht="12.75">
      <c r="A183" s="3"/>
      <c r="B183" s="85"/>
      <c r="C183" s="8"/>
      <c r="D183" s="3"/>
      <c r="E183" s="3"/>
      <c r="F183" s="3"/>
      <c r="G183" s="3"/>
    </row>
    <row r="184" spans="1:7" ht="12.75">
      <c r="A184" s="3"/>
      <c r="B184" s="85"/>
      <c r="C184" s="8"/>
      <c r="D184" s="3"/>
      <c r="E184" s="3"/>
      <c r="F184" s="3"/>
      <c r="G184" s="3"/>
    </row>
    <row r="185" spans="1:7" ht="12.75">
      <c r="A185" s="3"/>
      <c r="B185" s="85"/>
      <c r="C185" s="8"/>
      <c r="D185" s="3"/>
      <c r="E185" s="3"/>
      <c r="F185" s="3"/>
      <c r="G185" s="3"/>
    </row>
    <row r="186" spans="1:7" ht="12.75">
      <c r="A186" s="3"/>
      <c r="B186" s="85"/>
      <c r="C186" s="8"/>
      <c r="D186" s="3"/>
      <c r="E186" s="3"/>
      <c r="F186" s="3"/>
      <c r="G186" s="3"/>
    </row>
    <row r="187" spans="1:7" ht="12.75">
      <c r="A187" s="3"/>
      <c r="B187" s="85"/>
      <c r="C187" s="8"/>
      <c r="D187" s="3"/>
      <c r="E187" s="3"/>
      <c r="F187" s="3"/>
      <c r="G187" s="3"/>
    </row>
    <row r="188" spans="1:7" ht="12.75">
      <c r="A188" s="3"/>
      <c r="B188" s="85"/>
      <c r="C188" s="8"/>
      <c r="D188" s="3"/>
      <c r="E188" s="3"/>
      <c r="F188" s="3"/>
      <c r="G188" s="3"/>
    </row>
    <row r="189" spans="1:7" ht="12.75">
      <c r="A189" s="3"/>
      <c r="B189" s="85"/>
      <c r="C189" s="8"/>
      <c r="D189" s="3"/>
      <c r="E189" s="3"/>
      <c r="F189" s="3"/>
      <c r="G189" s="3"/>
    </row>
    <row r="190" spans="1:7" ht="12.75">
      <c r="A190" s="3"/>
      <c r="B190" s="85"/>
      <c r="C190" s="8"/>
      <c r="D190" s="3"/>
      <c r="E190" s="3"/>
      <c r="F190" s="3"/>
      <c r="G190" s="3"/>
    </row>
    <row r="191" spans="1:7" ht="12.75">
      <c r="A191" s="3"/>
      <c r="B191" s="85"/>
      <c r="C191" s="8"/>
      <c r="D191" s="3"/>
      <c r="E191" s="3"/>
      <c r="F191" s="3"/>
      <c r="G191" s="3"/>
    </row>
    <row r="192" spans="1:7" ht="12.75">
      <c r="A192" s="3"/>
      <c r="B192" s="85"/>
      <c r="C192" s="8"/>
      <c r="D192" s="3"/>
      <c r="E192" s="3"/>
      <c r="F192" s="3"/>
      <c r="G192" s="3"/>
    </row>
    <row r="193" spans="1:7" ht="12.75">
      <c r="A193" s="3"/>
      <c r="B193" s="85"/>
      <c r="C193" s="8"/>
      <c r="D193" s="3"/>
      <c r="E193" s="3"/>
      <c r="F193" s="3"/>
      <c r="G193" s="3"/>
    </row>
    <row r="194" spans="1:7" ht="12.75">
      <c r="A194" s="3"/>
      <c r="B194" s="85"/>
      <c r="C194" s="8"/>
      <c r="D194" s="3"/>
      <c r="E194" s="3"/>
      <c r="F194" s="3"/>
      <c r="G194" s="3"/>
    </row>
    <row r="195" spans="1:7" ht="12.75">
      <c r="A195" s="3"/>
      <c r="B195" s="85"/>
      <c r="C195" s="8"/>
      <c r="D195" s="3"/>
      <c r="E195" s="3"/>
      <c r="F195" s="3"/>
      <c r="G195" s="3"/>
    </row>
    <row r="196" spans="1:7" ht="12.75">
      <c r="A196" s="3"/>
      <c r="B196" s="85"/>
      <c r="C196" s="8"/>
      <c r="D196" s="3"/>
      <c r="E196" s="3"/>
      <c r="F196" s="3"/>
      <c r="G196" s="3"/>
    </row>
    <row r="197" spans="1:7" ht="12.75">
      <c r="A197" s="3"/>
      <c r="B197" s="85"/>
      <c r="C197" s="8"/>
      <c r="D197" s="3"/>
      <c r="E197" s="3"/>
      <c r="F197" s="3"/>
      <c r="G197" s="3"/>
    </row>
    <row r="198" spans="1:7" ht="12.75">
      <c r="A198" s="3"/>
      <c r="B198" s="85"/>
      <c r="C198" s="8"/>
      <c r="D198" s="3"/>
      <c r="E198" s="3"/>
      <c r="F198" s="3"/>
      <c r="G198" s="3"/>
    </row>
    <row r="199" spans="1:7" ht="12.75">
      <c r="A199" s="3"/>
      <c r="B199" s="85"/>
      <c r="C199" s="8"/>
      <c r="D199" s="3"/>
      <c r="E199" s="3"/>
      <c r="F199" s="3"/>
      <c r="G199" s="3"/>
    </row>
    <row r="200" spans="1:7" ht="12.75">
      <c r="A200" s="3"/>
      <c r="B200" s="85"/>
      <c r="C200" s="8"/>
      <c r="D200" s="3"/>
      <c r="E200" s="3"/>
      <c r="F200" s="3"/>
      <c r="G200" s="3"/>
    </row>
    <row r="201" spans="1:7" ht="12.75">
      <c r="A201" s="3"/>
      <c r="B201" s="85"/>
      <c r="C201" s="8"/>
      <c r="D201" s="3"/>
      <c r="E201" s="3"/>
      <c r="F201" s="3"/>
      <c r="G201" s="3"/>
    </row>
    <row r="202" spans="1:7" ht="12.75">
      <c r="A202" s="3"/>
      <c r="B202" s="85"/>
      <c r="C202" s="8"/>
      <c r="D202" s="3"/>
      <c r="E202" s="3"/>
      <c r="F202" s="3"/>
      <c r="G202" s="3"/>
    </row>
    <row r="203" spans="1:7" ht="12.75">
      <c r="A203" s="3"/>
      <c r="B203" s="85"/>
      <c r="C203" s="8"/>
      <c r="D203" s="3"/>
      <c r="E203" s="3"/>
      <c r="F203" s="3"/>
      <c r="G203" s="3"/>
    </row>
    <row r="204" spans="1:7" ht="12.75">
      <c r="A204" s="3"/>
      <c r="B204" s="85"/>
      <c r="C204" s="8"/>
      <c r="D204" s="3"/>
      <c r="E204" s="3"/>
      <c r="F204" s="3"/>
      <c r="G204" s="3"/>
    </row>
    <row r="205" spans="1:7" ht="12.75">
      <c r="A205" s="3"/>
      <c r="B205" s="85"/>
      <c r="C205" s="8"/>
      <c r="D205" s="3"/>
      <c r="E205" s="3"/>
      <c r="F205" s="3"/>
      <c r="G205" s="3"/>
    </row>
    <row r="206" spans="1:7" ht="12.75">
      <c r="A206" s="3"/>
      <c r="B206" s="85"/>
      <c r="C206" s="8"/>
      <c r="D206" s="3"/>
      <c r="E206" s="3"/>
      <c r="F206" s="3"/>
      <c r="G206" s="3"/>
    </row>
    <row r="207" spans="1:7" ht="12.75">
      <c r="A207" s="3"/>
      <c r="B207" s="85"/>
      <c r="C207" s="8"/>
      <c r="D207" s="3"/>
      <c r="E207" s="3"/>
      <c r="F207" s="3"/>
      <c r="G207" s="3"/>
    </row>
    <row r="208" spans="1:7" ht="12.75">
      <c r="A208" s="3"/>
      <c r="B208" s="85"/>
      <c r="C208" s="8"/>
      <c r="D208" s="3"/>
      <c r="E208" s="3"/>
      <c r="F208" s="3"/>
      <c r="G208" s="3"/>
    </row>
    <row r="209" spans="1:7" ht="12.75">
      <c r="A209" s="3"/>
      <c r="B209" s="85"/>
      <c r="C209" s="8"/>
      <c r="D209" s="3"/>
      <c r="E209" s="3"/>
      <c r="F209" s="3"/>
      <c r="G209" s="3"/>
    </row>
    <row r="210" spans="1:7" ht="12.75">
      <c r="A210" s="3"/>
      <c r="B210" s="85"/>
      <c r="C210" s="8"/>
      <c r="D210" s="3"/>
      <c r="E210" s="3"/>
      <c r="F210" s="3"/>
      <c r="G210" s="3"/>
    </row>
    <row r="211" spans="1:7" ht="12.75">
      <c r="A211" s="3"/>
      <c r="B211" s="85"/>
      <c r="C211" s="8"/>
      <c r="D211" s="3"/>
      <c r="E211" s="3"/>
      <c r="F211" s="3"/>
      <c r="G211" s="3"/>
    </row>
    <row r="212" spans="1:7" ht="12.75">
      <c r="A212" s="3"/>
      <c r="B212" s="85"/>
      <c r="C212" s="8"/>
      <c r="D212" s="3"/>
      <c r="E212" s="3"/>
      <c r="F212" s="3"/>
      <c r="G212" s="3"/>
    </row>
    <row r="213" spans="1:7" ht="12.75">
      <c r="A213" s="3"/>
      <c r="B213" s="85"/>
      <c r="C213" s="8"/>
      <c r="D213" s="3"/>
      <c r="E213" s="3"/>
      <c r="F213" s="3"/>
      <c r="G213" s="3"/>
    </row>
    <row r="214" spans="1:7" ht="12.75">
      <c r="A214" s="3"/>
      <c r="B214" s="85"/>
      <c r="C214" s="8"/>
      <c r="D214" s="3"/>
      <c r="E214" s="3"/>
      <c r="F214" s="3"/>
      <c r="G214" s="3"/>
    </row>
    <row r="215" spans="1:7" ht="12.75">
      <c r="A215" s="3"/>
      <c r="B215" s="85"/>
      <c r="C215" s="8"/>
      <c r="D215" s="3"/>
      <c r="E215" s="3"/>
      <c r="F215" s="3"/>
      <c r="G215" s="3"/>
    </row>
    <row r="216" spans="1:7" ht="12.75">
      <c r="A216" s="3"/>
      <c r="B216" s="85"/>
      <c r="C216" s="8"/>
      <c r="D216" s="3"/>
      <c r="E216" s="3"/>
      <c r="F216" s="3"/>
      <c r="G216" s="3"/>
    </row>
    <row r="217" spans="1:7" ht="12.75">
      <c r="A217" s="3"/>
      <c r="B217" s="85"/>
      <c r="C217" s="8"/>
      <c r="D217" s="3"/>
      <c r="E217" s="3"/>
      <c r="F217" s="3"/>
      <c r="G217" s="3"/>
    </row>
    <row r="218" spans="1:7" ht="12.75">
      <c r="A218" s="3"/>
      <c r="B218" s="85"/>
      <c r="C218" s="8"/>
      <c r="D218" s="3"/>
      <c r="E218" s="3"/>
      <c r="F218" s="3"/>
      <c r="G218" s="3"/>
    </row>
    <row r="219" spans="1:7" ht="12.75">
      <c r="A219" s="3"/>
      <c r="B219" s="85"/>
      <c r="C219" s="8"/>
      <c r="D219" s="3"/>
      <c r="E219" s="3"/>
      <c r="F219" s="3"/>
      <c r="G219" s="3"/>
    </row>
    <row r="220" spans="1:7" ht="12.75">
      <c r="A220" s="3"/>
      <c r="B220" s="85"/>
      <c r="C220" s="8"/>
      <c r="D220" s="3"/>
      <c r="E220" s="3"/>
      <c r="F220" s="3"/>
      <c r="G220" s="3"/>
    </row>
    <row r="221" spans="1:7" ht="12.75">
      <c r="A221" s="3"/>
      <c r="B221" s="85"/>
      <c r="C221" s="8"/>
      <c r="D221" s="3"/>
      <c r="E221" s="3"/>
      <c r="F221" s="3"/>
      <c r="G221" s="3"/>
    </row>
    <row r="222" spans="1:7" ht="12.75">
      <c r="A222" s="3"/>
      <c r="B222" s="85"/>
      <c r="C222" s="8"/>
      <c r="D222" s="3"/>
      <c r="E222" s="3"/>
      <c r="F222" s="3"/>
      <c r="G222" s="3"/>
    </row>
    <row r="223" spans="1:7" ht="12.75">
      <c r="A223" s="3"/>
      <c r="B223" s="85"/>
      <c r="C223" s="8"/>
      <c r="D223" s="3"/>
      <c r="E223" s="3"/>
      <c r="F223" s="3"/>
      <c r="G223" s="3"/>
    </row>
    <row r="224" spans="1:7" ht="12.75">
      <c r="A224" s="3"/>
      <c r="B224" s="85"/>
      <c r="C224" s="8"/>
      <c r="D224" s="3"/>
      <c r="E224" s="3"/>
      <c r="F224" s="3"/>
      <c r="G224" s="3"/>
    </row>
    <row r="225" spans="1:7" ht="12.75">
      <c r="A225" s="3"/>
      <c r="B225" s="85"/>
      <c r="C225" s="8"/>
      <c r="D225" s="3"/>
      <c r="E225" s="3"/>
      <c r="F225" s="3"/>
      <c r="G225" s="3"/>
    </row>
    <row r="226" spans="1:7" ht="12.75">
      <c r="A226" s="3"/>
      <c r="B226" s="85"/>
      <c r="C226" s="8"/>
      <c r="D226" s="3"/>
      <c r="E226" s="3"/>
      <c r="F226" s="3"/>
      <c r="G226" s="3"/>
    </row>
    <row r="227" spans="1:7" ht="12.75">
      <c r="A227" s="3"/>
      <c r="B227" s="85"/>
      <c r="C227" s="8"/>
      <c r="D227" s="3"/>
      <c r="E227" s="3"/>
      <c r="F227" s="3"/>
      <c r="G227" s="3"/>
    </row>
    <row r="228" spans="1:7" ht="12.75">
      <c r="A228" s="3"/>
      <c r="B228" s="85"/>
      <c r="C228" s="8"/>
      <c r="D228" s="3"/>
      <c r="E228" s="3"/>
      <c r="F228" s="3"/>
      <c r="G228" s="3"/>
    </row>
    <row r="229" spans="1:7" ht="12.75">
      <c r="A229" s="3"/>
      <c r="B229" s="85"/>
      <c r="C229" s="8"/>
      <c r="D229" s="3"/>
      <c r="E229" s="3"/>
      <c r="F229" s="3"/>
      <c r="G229" s="3"/>
    </row>
    <row r="230" spans="1:7" ht="12.75">
      <c r="A230" s="3"/>
      <c r="B230" s="85"/>
      <c r="C230" s="8"/>
      <c r="D230" s="3"/>
      <c r="E230" s="3"/>
      <c r="F230" s="3"/>
      <c r="G230" s="3"/>
    </row>
    <row r="231" spans="1:7" ht="12.75">
      <c r="A231" s="3"/>
      <c r="B231" s="85"/>
      <c r="C231" s="8"/>
      <c r="D231" s="3"/>
      <c r="E231" s="3"/>
      <c r="F231" s="3"/>
      <c r="G231" s="3"/>
    </row>
    <row r="232" spans="1:7" ht="12.75">
      <c r="A232" s="3"/>
      <c r="B232" s="85"/>
      <c r="C232" s="8"/>
      <c r="D232" s="3"/>
      <c r="E232" s="3"/>
      <c r="F232" s="3"/>
      <c r="G232" s="3"/>
    </row>
    <row r="233" spans="1:7" ht="12.75">
      <c r="A233" s="3"/>
      <c r="B233" s="85"/>
      <c r="C233" s="8"/>
      <c r="D233" s="3"/>
      <c r="E233" s="3"/>
      <c r="F233" s="3"/>
      <c r="G233" s="3"/>
    </row>
    <row r="234" spans="1:7" ht="12.75">
      <c r="A234" s="3"/>
      <c r="B234" s="85"/>
      <c r="C234" s="8"/>
      <c r="D234" s="3"/>
      <c r="E234" s="3"/>
      <c r="F234" s="3"/>
      <c r="G234" s="3"/>
    </row>
    <row r="235" spans="1:7" ht="12.75">
      <c r="A235" s="3"/>
      <c r="B235" s="85"/>
      <c r="C235" s="8"/>
      <c r="D235" s="3"/>
      <c r="E235" s="3"/>
      <c r="F235" s="3"/>
      <c r="G235" s="3"/>
    </row>
    <row r="236" spans="1:7" ht="12.75">
      <c r="A236" s="3"/>
      <c r="B236" s="85"/>
      <c r="C236" s="8"/>
      <c r="D236" s="3"/>
      <c r="E236" s="3"/>
      <c r="F236" s="3"/>
      <c r="G236" s="3"/>
    </row>
    <row r="237" spans="1:7" ht="12.75">
      <c r="A237" s="3"/>
      <c r="B237" s="85"/>
      <c r="C237" s="8"/>
      <c r="D237" s="3"/>
      <c r="E237" s="3"/>
      <c r="F237" s="3"/>
      <c r="G237" s="3"/>
    </row>
    <row r="238" spans="1:7" ht="12.75">
      <c r="A238" s="3"/>
      <c r="B238" s="85"/>
      <c r="C238" s="8"/>
      <c r="D238" s="3"/>
      <c r="E238" s="3"/>
      <c r="F238" s="3"/>
      <c r="G238" s="3"/>
    </row>
    <row r="239" spans="1:7" ht="12.75">
      <c r="A239" s="3"/>
      <c r="B239" s="85"/>
      <c r="C239" s="8"/>
      <c r="D239" s="3"/>
      <c r="E239" s="3"/>
      <c r="F239" s="3"/>
      <c r="G239" s="3"/>
    </row>
    <row r="240" spans="1:7" ht="12.75">
      <c r="A240" s="3"/>
      <c r="B240" s="85"/>
      <c r="C240" s="8"/>
      <c r="D240" s="3"/>
      <c r="E240" s="3"/>
      <c r="F240" s="3"/>
      <c r="G240" s="3"/>
    </row>
    <row r="241" spans="1:7" ht="12.75">
      <c r="A241" s="3"/>
      <c r="B241" s="85"/>
      <c r="C241" s="8"/>
      <c r="D241" s="3"/>
      <c r="E241" s="3"/>
      <c r="F241" s="3"/>
      <c r="G241" s="3"/>
    </row>
    <row r="242" spans="1:7" ht="12.75">
      <c r="A242" s="3"/>
      <c r="B242" s="85"/>
      <c r="C242" s="8"/>
      <c r="D242" s="3"/>
      <c r="E242" s="3"/>
      <c r="F242" s="3"/>
      <c r="G242" s="3"/>
    </row>
    <row r="243" spans="1:7" ht="12.75">
      <c r="A243" s="3"/>
      <c r="B243" s="85"/>
      <c r="C243" s="8"/>
      <c r="D243" s="3"/>
      <c r="E243" s="3"/>
      <c r="F243" s="3"/>
      <c r="G243" s="3"/>
    </row>
    <row r="244" spans="1:7" ht="12.75">
      <c r="A244" s="3"/>
      <c r="B244" s="85"/>
      <c r="C244" s="8"/>
      <c r="D244" s="3"/>
      <c r="E244" s="3"/>
      <c r="F244" s="3"/>
      <c r="G244" s="3"/>
    </row>
    <row r="245" spans="1:7" ht="12.75">
      <c r="A245" s="3"/>
      <c r="B245" s="85"/>
      <c r="C245" s="8"/>
      <c r="D245" s="3"/>
      <c r="E245" s="3"/>
      <c r="F245" s="3"/>
      <c r="G245" s="3"/>
    </row>
    <row r="246" spans="1:7" ht="12.75">
      <c r="A246" s="3"/>
      <c r="B246" s="85"/>
      <c r="C246" s="8"/>
      <c r="D246" s="3"/>
      <c r="E246" s="3"/>
      <c r="F246" s="3"/>
      <c r="G246" s="3"/>
    </row>
    <row r="247" spans="1:7" ht="12.75">
      <c r="A247" s="3"/>
      <c r="B247" s="85"/>
      <c r="C247" s="8"/>
      <c r="D247" s="3"/>
      <c r="E247" s="3"/>
      <c r="F247" s="3"/>
      <c r="G247" s="3"/>
    </row>
    <row r="248" spans="1:7" ht="12.75">
      <c r="A248" s="3"/>
      <c r="B248" s="85"/>
      <c r="C248" s="8"/>
      <c r="D248" s="3"/>
      <c r="E248" s="3"/>
      <c r="F248" s="3"/>
      <c r="G248" s="3"/>
    </row>
    <row r="249" spans="1:7" ht="12.75">
      <c r="A249" s="3"/>
      <c r="B249" s="85"/>
      <c r="C249" s="8"/>
      <c r="D249" s="3"/>
      <c r="E249" s="3"/>
      <c r="F249" s="3"/>
      <c r="G249" s="3"/>
    </row>
    <row r="250" spans="1:7" ht="12.75">
      <c r="A250" s="3"/>
      <c r="B250" s="85"/>
      <c r="C250" s="8"/>
      <c r="D250" s="3"/>
      <c r="E250" s="3"/>
      <c r="F250" s="3"/>
      <c r="G250" s="3"/>
    </row>
    <row r="251" spans="1:7" ht="12.75">
      <c r="A251" s="3"/>
      <c r="B251" s="85"/>
      <c r="C251" s="8"/>
      <c r="D251" s="3"/>
      <c r="E251" s="3"/>
      <c r="F251" s="3"/>
      <c r="G251" s="3"/>
    </row>
    <row r="252" spans="1:7" ht="12.75">
      <c r="A252" s="3"/>
      <c r="B252" s="85"/>
      <c r="C252" s="8"/>
      <c r="D252" s="3"/>
      <c r="E252" s="3"/>
      <c r="F252" s="3"/>
      <c r="G252" s="3"/>
    </row>
    <row r="253" spans="1:7" ht="12.75">
      <c r="A253" s="3"/>
      <c r="B253" s="85"/>
      <c r="C253" s="8"/>
      <c r="D253" s="3"/>
      <c r="E253" s="3"/>
      <c r="F253" s="3"/>
      <c r="G253" s="3"/>
    </row>
    <row r="254" spans="1:7" ht="12.75">
      <c r="A254" s="3"/>
      <c r="B254" s="85"/>
      <c r="C254" s="8"/>
      <c r="D254" s="3"/>
      <c r="E254" s="3"/>
      <c r="F254" s="3"/>
      <c r="G254" s="3"/>
    </row>
    <row r="255" spans="1:7" ht="12.75">
      <c r="A255" s="3"/>
      <c r="B255" s="85"/>
      <c r="C255" s="8"/>
      <c r="D255" s="3"/>
      <c r="E255" s="3"/>
      <c r="F255" s="3"/>
      <c r="G255" s="3"/>
    </row>
    <row r="256" spans="1:7" ht="12.75">
      <c r="A256" s="3"/>
      <c r="B256" s="85"/>
      <c r="C256" s="8"/>
      <c r="D256" s="3"/>
      <c r="E256" s="3"/>
      <c r="F256" s="3"/>
      <c r="G256" s="3"/>
    </row>
    <row r="257" spans="1:7" ht="12.75">
      <c r="A257" s="3"/>
      <c r="B257" s="85"/>
      <c r="C257" s="8"/>
      <c r="D257" s="3"/>
      <c r="E257" s="3"/>
      <c r="F257" s="3"/>
      <c r="G257" s="3"/>
    </row>
    <row r="258" spans="1:7" ht="12.75">
      <c r="A258" s="3"/>
      <c r="B258" s="85"/>
      <c r="C258" s="8"/>
      <c r="D258" s="3"/>
      <c r="E258" s="3"/>
      <c r="F258" s="3"/>
      <c r="G258" s="3"/>
    </row>
    <row r="259" spans="1:7" ht="12.75">
      <c r="A259" s="3"/>
      <c r="B259" s="85"/>
      <c r="C259" s="8"/>
      <c r="D259" s="3"/>
      <c r="E259" s="3"/>
      <c r="F259" s="3"/>
      <c r="G259" s="3"/>
    </row>
    <row r="260" spans="1:7" ht="12.75">
      <c r="A260" s="3"/>
      <c r="B260" s="85"/>
      <c r="C260" s="8"/>
      <c r="D260" s="3"/>
      <c r="E260" s="3"/>
      <c r="F260" s="3"/>
      <c r="G260" s="3"/>
    </row>
    <row r="261" spans="1:7" ht="12.75">
      <c r="A261" s="3"/>
      <c r="B261" s="85"/>
      <c r="C261" s="8"/>
      <c r="D261" s="3"/>
      <c r="E261" s="3"/>
      <c r="F261" s="3"/>
      <c r="G261" s="3"/>
    </row>
    <row r="262" spans="1:7" ht="12.75">
      <c r="A262" s="3"/>
      <c r="B262" s="85"/>
      <c r="C262" s="8"/>
      <c r="D262" s="3"/>
      <c r="E262" s="3"/>
      <c r="F262" s="3"/>
      <c r="G262" s="3"/>
    </row>
    <row r="263" spans="1:7" ht="12.75">
      <c r="A263" s="3"/>
      <c r="B263" s="85"/>
      <c r="C263" s="8"/>
      <c r="D263" s="3"/>
      <c r="E263" s="3"/>
      <c r="F263" s="3"/>
      <c r="G263" s="3"/>
    </row>
    <row r="264" spans="1:7" ht="12.75">
      <c r="A264" s="3"/>
      <c r="B264" s="85"/>
      <c r="C264" s="8"/>
      <c r="D264" s="3"/>
      <c r="E264" s="3"/>
      <c r="F264" s="3"/>
      <c r="G264" s="3"/>
    </row>
    <row r="265" spans="1:7" ht="12.75">
      <c r="A265" s="3"/>
      <c r="B265" s="85"/>
      <c r="C265" s="8"/>
      <c r="D265" s="3"/>
      <c r="E265" s="3"/>
      <c r="F265" s="3"/>
      <c r="G265" s="3"/>
    </row>
    <row r="266" spans="1:7" ht="12.75">
      <c r="A266" s="3"/>
      <c r="B266" s="85"/>
      <c r="C266" s="8"/>
      <c r="D266" s="3"/>
      <c r="E266" s="3"/>
      <c r="F266" s="3"/>
      <c r="G266" s="3"/>
    </row>
    <row r="267" spans="1:7" ht="12.75">
      <c r="A267" s="3"/>
      <c r="B267" s="85"/>
      <c r="C267" s="8"/>
      <c r="D267" s="3"/>
      <c r="E267" s="3"/>
      <c r="F267" s="3"/>
      <c r="G267" s="3"/>
    </row>
    <row r="268" spans="1:7" ht="12.75">
      <c r="A268" s="3"/>
      <c r="B268" s="85"/>
      <c r="C268" s="8"/>
      <c r="D268" s="3"/>
      <c r="E268" s="3"/>
      <c r="F268" s="3"/>
      <c r="G268" s="3"/>
    </row>
    <row r="269" spans="1:7" ht="12.75">
      <c r="A269" s="3"/>
      <c r="B269" s="85"/>
      <c r="C269" s="8"/>
      <c r="D269" s="3"/>
      <c r="E269" s="3"/>
      <c r="F269" s="3"/>
      <c r="G269" s="3"/>
    </row>
    <row r="270" spans="1:7" ht="12.75">
      <c r="A270" s="3"/>
      <c r="B270" s="85"/>
      <c r="C270" s="8"/>
      <c r="D270" s="3"/>
      <c r="E270" s="3"/>
      <c r="F270" s="3"/>
      <c r="G270" s="3"/>
    </row>
    <row r="271" spans="1:7" ht="12.75">
      <c r="A271" s="3"/>
      <c r="B271" s="85"/>
      <c r="C271" s="8"/>
      <c r="D271" s="3"/>
      <c r="E271" s="3"/>
      <c r="F271" s="3"/>
      <c r="G271" s="3"/>
    </row>
    <row r="272" spans="1:7" ht="12.75">
      <c r="A272" s="3"/>
      <c r="B272" s="85"/>
      <c r="C272" s="8"/>
      <c r="D272" s="3"/>
      <c r="E272" s="3"/>
      <c r="F272" s="3"/>
      <c r="G272" s="3"/>
    </row>
    <row r="273" spans="1:7" ht="12.75">
      <c r="A273" s="3"/>
      <c r="B273" s="85"/>
      <c r="C273" s="8"/>
      <c r="D273" s="3"/>
      <c r="E273" s="3"/>
      <c r="F273" s="3"/>
      <c r="G273" s="3"/>
    </row>
    <row r="274" spans="1:7" ht="12.75">
      <c r="A274" s="3"/>
      <c r="B274" s="85"/>
      <c r="C274" s="8"/>
      <c r="D274" s="3"/>
      <c r="E274" s="3"/>
      <c r="F274" s="3"/>
      <c r="G274" s="3"/>
    </row>
    <row r="275" spans="1:7" ht="12.75">
      <c r="A275" s="3"/>
      <c r="B275" s="85"/>
      <c r="C275" s="8"/>
      <c r="D275" s="3"/>
      <c r="E275" s="3"/>
      <c r="F275" s="3"/>
      <c r="G275" s="3"/>
    </row>
    <row r="276" spans="1:7" ht="12.75">
      <c r="A276" s="3"/>
      <c r="B276" s="85"/>
      <c r="C276" s="8"/>
      <c r="D276" s="3"/>
      <c r="E276" s="3"/>
      <c r="F276" s="3"/>
      <c r="G276" s="3"/>
    </row>
    <row r="277" spans="1:7" ht="12.75">
      <c r="A277" s="3"/>
      <c r="B277" s="85"/>
      <c r="C277" s="8"/>
      <c r="D277" s="3"/>
      <c r="E277" s="3"/>
      <c r="F277" s="3"/>
      <c r="G277" s="3"/>
    </row>
    <row r="278" spans="1:7" ht="12.75">
      <c r="A278" s="3"/>
      <c r="B278" s="85"/>
      <c r="C278" s="8"/>
      <c r="D278" s="3"/>
      <c r="E278" s="3"/>
      <c r="F278" s="3"/>
      <c r="G278" s="3"/>
    </row>
    <row r="279" spans="1:7" ht="12.75">
      <c r="A279" s="3"/>
      <c r="B279" s="85"/>
      <c r="C279" s="8"/>
      <c r="D279" s="3"/>
      <c r="E279" s="3"/>
      <c r="F279" s="3"/>
      <c r="G279" s="3"/>
    </row>
    <row r="280" spans="1:7" ht="12.75">
      <c r="A280" s="3"/>
      <c r="B280" s="85"/>
      <c r="C280" s="8"/>
      <c r="D280" s="3"/>
      <c r="E280" s="3"/>
      <c r="F280" s="3"/>
      <c r="G280" s="3"/>
    </row>
    <row r="281" spans="1:7" ht="12.75">
      <c r="A281" s="3"/>
      <c r="B281" s="85"/>
      <c r="C281" s="8"/>
      <c r="D281" s="3"/>
      <c r="E281" s="3"/>
      <c r="F281" s="3"/>
      <c r="G281" s="3"/>
    </row>
    <row r="282" spans="1:7" ht="12.75">
      <c r="A282" s="3"/>
      <c r="B282" s="85"/>
      <c r="C282" s="8"/>
      <c r="D282" s="3"/>
      <c r="E282" s="3"/>
      <c r="F282" s="3"/>
      <c r="G282" s="3"/>
    </row>
    <row r="283" spans="1:7" ht="12.75">
      <c r="A283" s="3"/>
      <c r="B283" s="85"/>
      <c r="C283" s="8"/>
      <c r="D283" s="3"/>
      <c r="E283" s="3"/>
      <c r="F283" s="3"/>
      <c r="G283" s="3"/>
    </row>
    <row r="284" spans="1:7" ht="12.75">
      <c r="A284" s="3"/>
      <c r="B284" s="85"/>
      <c r="C284" s="8"/>
      <c r="D284" s="3"/>
      <c r="E284" s="3"/>
      <c r="F284" s="3"/>
      <c r="G284" s="3"/>
    </row>
    <row r="285" spans="1:7" ht="12.75">
      <c r="A285" s="3"/>
      <c r="B285" s="85"/>
      <c r="C285" s="8"/>
      <c r="D285" s="3"/>
      <c r="E285" s="3"/>
      <c r="F285" s="3"/>
      <c r="G285" s="3"/>
    </row>
    <row r="286" spans="1:7" ht="12.75">
      <c r="A286" s="3"/>
      <c r="B286" s="85"/>
      <c r="C286" s="8"/>
      <c r="D286" s="3"/>
      <c r="E286" s="3"/>
      <c r="F286" s="3"/>
      <c r="G286" s="3"/>
    </row>
    <row r="287" spans="1:7" ht="12.75">
      <c r="A287" s="3"/>
      <c r="B287" s="85"/>
      <c r="C287" s="8"/>
      <c r="D287" s="3"/>
      <c r="E287" s="3"/>
      <c r="F287" s="3"/>
      <c r="G287" s="3"/>
    </row>
    <row r="288" spans="1:7" ht="12.75">
      <c r="A288" s="3"/>
      <c r="B288" s="85"/>
      <c r="C288" s="8"/>
      <c r="D288" s="3"/>
      <c r="E288" s="3"/>
      <c r="F288" s="3"/>
      <c r="G288" s="3"/>
    </row>
    <row r="289" spans="1:7" ht="12.75">
      <c r="A289" s="3"/>
      <c r="B289" s="85"/>
      <c r="C289" s="8"/>
      <c r="D289" s="3"/>
      <c r="E289" s="3"/>
      <c r="F289" s="3"/>
      <c r="G289" s="3"/>
    </row>
    <row r="290" spans="1:7" ht="12.75">
      <c r="A290" s="3"/>
      <c r="B290" s="85"/>
      <c r="C290" s="8"/>
      <c r="D290" s="3"/>
      <c r="E290" s="3"/>
      <c r="F290" s="3"/>
      <c r="G290" s="3"/>
    </row>
    <row r="291" spans="1:7" ht="12.75">
      <c r="A291" s="3"/>
      <c r="B291" s="85"/>
      <c r="C291" s="8"/>
      <c r="D291" s="3"/>
      <c r="E291" s="3"/>
      <c r="F291" s="3"/>
      <c r="G291" s="3"/>
    </row>
    <row r="292" spans="1:7" ht="12.75">
      <c r="A292" s="3"/>
      <c r="B292" s="85"/>
      <c r="C292" s="8"/>
      <c r="D292" s="3"/>
      <c r="E292" s="3"/>
      <c r="F292" s="3"/>
      <c r="G292" s="3"/>
    </row>
    <row r="293" spans="1:7" ht="12.75">
      <c r="A293" s="3"/>
      <c r="B293" s="85"/>
      <c r="C293" s="8"/>
      <c r="D293" s="3"/>
      <c r="E293" s="3"/>
      <c r="F293" s="3"/>
      <c r="G293" s="3"/>
    </row>
    <row r="294" spans="1:7" ht="12.75">
      <c r="A294" s="3"/>
      <c r="B294" s="85"/>
      <c r="C294" s="8"/>
      <c r="D294" s="3"/>
      <c r="E294" s="3"/>
      <c r="F294" s="3"/>
      <c r="G294" s="3"/>
    </row>
    <row r="295" spans="1:7" ht="12.75">
      <c r="A295" s="3"/>
      <c r="B295" s="85"/>
      <c r="C295" s="8"/>
      <c r="D295" s="3"/>
      <c r="E295" s="3"/>
      <c r="F295" s="3"/>
      <c r="G295" s="3"/>
    </row>
    <row r="296" spans="1:7" ht="12.75">
      <c r="A296" s="3"/>
      <c r="B296" s="85"/>
      <c r="C296" s="8"/>
      <c r="D296" s="3"/>
      <c r="E296" s="3"/>
      <c r="F296" s="3"/>
      <c r="G296" s="3"/>
    </row>
    <row r="297" spans="1:7" ht="12.75">
      <c r="A297" s="3"/>
      <c r="B297" s="85"/>
      <c r="C297" s="8"/>
      <c r="D297" s="3"/>
      <c r="E297" s="3"/>
      <c r="F297" s="3"/>
      <c r="G297" s="3"/>
    </row>
    <row r="298" spans="1:7" ht="12.75">
      <c r="A298" s="3"/>
      <c r="B298" s="85"/>
      <c r="C298" s="8"/>
      <c r="D298" s="3"/>
      <c r="E298" s="3"/>
      <c r="F298" s="3"/>
      <c r="G298" s="3"/>
    </row>
    <row r="299" spans="1:7" ht="12.75">
      <c r="A299" s="3"/>
      <c r="B299" s="85"/>
      <c r="C299" s="8"/>
      <c r="D299" s="3"/>
      <c r="E299" s="3"/>
      <c r="F299" s="3"/>
      <c r="G299" s="3"/>
    </row>
    <row r="300" spans="1:7" ht="12.75">
      <c r="A300" s="3"/>
      <c r="B300" s="85"/>
      <c r="C300" s="8"/>
      <c r="D300" s="3"/>
      <c r="E300" s="3"/>
      <c r="F300" s="3"/>
      <c r="G300" s="3"/>
    </row>
    <row r="301" spans="1:7" ht="12.75">
      <c r="A301" s="3"/>
      <c r="B301" s="85"/>
      <c r="C301" s="8"/>
      <c r="D301" s="3"/>
      <c r="E301" s="3"/>
      <c r="F301" s="3"/>
      <c r="G301" s="3"/>
    </row>
    <row r="302" spans="1:7" ht="12.75">
      <c r="A302" s="3"/>
      <c r="B302" s="85"/>
      <c r="C302" s="8"/>
      <c r="D302" s="3"/>
      <c r="E302" s="3"/>
      <c r="F302" s="3"/>
      <c r="G302" s="3"/>
    </row>
    <row r="303" spans="1:7" ht="12.75">
      <c r="A303" s="3"/>
      <c r="B303" s="85"/>
      <c r="C303" s="8"/>
      <c r="D303" s="3"/>
      <c r="E303" s="3"/>
      <c r="F303" s="3"/>
      <c r="G303" s="3"/>
    </row>
    <row r="304" spans="1:7" ht="12.75">
      <c r="A304" s="3"/>
      <c r="B304" s="85"/>
      <c r="C304" s="8"/>
      <c r="D304" s="3"/>
      <c r="E304" s="3"/>
      <c r="F304" s="3"/>
      <c r="G304" s="3"/>
    </row>
    <row r="305" spans="1:7" ht="12.75">
      <c r="A305" s="3"/>
      <c r="B305" s="85"/>
      <c r="C305" s="8"/>
      <c r="D305" s="3"/>
      <c r="E305" s="3"/>
      <c r="F305" s="3"/>
      <c r="G305" s="3"/>
    </row>
    <row r="306" spans="1:7" ht="12.75">
      <c r="A306" s="3"/>
      <c r="B306" s="85"/>
      <c r="C306" s="8"/>
      <c r="D306" s="3"/>
      <c r="E306" s="3"/>
      <c r="F306" s="3"/>
      <c r="G306" s="3"/>
    </row>
    <row r="307" spans="1:7" ht="12.75">
      <c r="A307" s="3"/>
      <c r="B307" s="85"/>
      <c r="C307" s="8"/>
      <c r="D307" s="3"/>
      <c r="E307" s="3"/>
      <c r="F307" s="3"/>
      <c r="G307" s="3"/>
    </row>
    <row r="308" spans="1:7" ht="12.75">
      <c r="A308" s="3"/>
      <c r="B308" s="85"/>
      <c r="C308" s="8"/>
      <c r="D308" s="3"/>
      <c r="E308" s="3"/>
      <c r="F308" s="3"/>
      <c r="G308" s="3"/>
    </row>
    <row r="309" spans="1:7" ht="12.75">
      <c r="A309" s="3"/>
      <c r="B309" s="85"/>
      <c r="C309" s="8"/>
      <c r="D309" s="3"/>
      <c r="E309" s="3"/>
      <c r="F309" s="3"/>
      <c r="G309" s="3"/>
    </row>
    <row r="310" spans="1:7" ht="12.75">
      <c r="A310" s="3"/>
      <c r="B310" s="85"/>
      <c r="C310" s="8"/>
      <c r="D310" s="3"/>
      <c r="E310" s="3"/>
      <c r="F310" s="3"/>
      <c r="G310" s="3"/>
    </row>
    <row r="311" spans="1:7" ht="12.75">
      <c r="A311" s="3"/>
      <c r="B311" s="85"/>
      <c r="C311" s="8"/>
      <c r="D311" s="3"/>
      <c r="E311" s="3"/>
      <c r="F311" s="3"/>
      <c r="G311" s="3"/>
    </row>
    <row r="312" spans="1:7" ht="12.75">
      <c r="A312" s="3"/>
      <c r="B312" s="85"/>
      <c r="C312" s="8"/>
      <c r="D312" s="3"/>
      <c r="E312" s="3"/>
      <c r="F312" s="3"/>
      <c r="G312" s="3"/>
    </row>
    <row r="313" spans="1:7" ht="12.75">
      <c r="A313" s="3"/>
      <c r="B313" s="85"/>
      <c r="C313" s="8"/>
      <c r="D313" s="3"/>
      <c r="E313" s="3"/>
      <c r="F313" s="3"/>
      <c r="G313" s="3"/>
    </row>
    <row r="314" spans="1:7" ht="12.75">
      <c r="A314" s="3"/>
      <c r="B314" s="85"/>
      <c r="C314" s="8"/>
      <c r="D314" s="3"/>
      <c r="E314" s="3"/>
      <c r="F314" s="3"/>
      <c r="G314" s="3"/>
    </row>
    <row r="315" spans="1:7" ht="12.75">
      <c r="A315" s="3"/>
      <c r="B315" s="85"/>
      <c r="C315" s="8"/>
      <c r="D315" s="3"/>
      <c r="E315" s="3"/>
      <c r="F315" s="3"/>
      <c r="G315" s="3"/>
    </row>
    <row r="316" spans="1:7" ht="12.75">
      <c r="A316" s="3"/>
      <c r="B316" s="85"/>
      <c r="C316" s="8"/>
      <c r="D316" s="3"/>
      <c r="E316" s="3"/>
      <c r="F316" s="3"/>
      <c r="G316" s="3"/>
    </row>
    <row r="317" spans="1:7" ht="12.75">
      <c r="A317" s="3"/>
      <c r="B317" s="85"/>
      <c r="C317" s="8"/>
      <c r="D317" s="3"/>
      <c r="E317" s="3"/>
      <c r="F317" s="3"/>
      <c r="G317" s="3"/>
    </row>
    <row r="318" spans="1:7" ht="12.75">
      <c r="A318" s="3"/>
      <c r="B318" s="85"/>
      <c r="C318" s="8"/>
      <c r="D318" s="3"/>
      <c r="E318" s="3"/>
      <c r="F318" s="3"/>
      <c r="G318" s="3"/>
    </row>
    <row r="319" spans="1:7" ht="12.75">
      <c r="A319" s="3"/>
      <c r="B319" s="85"/>
      <c r="C319" s="8"/>
      <c r="D319" s="3"/>
      <c r="E319" s="3"/>
      <c r="F319" s="3"/>
      <c r="G319" s="3"/>
    </row>
    <row r="320" spans="1:7" ht="12.75">
      <c r="A320" s="3"/>
      <c r="B320" s="85"/>
      <c r="C320" s="8"/>
      <c r="D320" s="3"/>
      <c r="E320" s="3"/>
      <c r="F320" s="3"/>
      <c r="G320" s="3"/>
    </row>
    <row r="321" spans="1:7" ht="12.75">
      <c r="A321" s="3"/>
      <c r="B321" s="85"/>
      <c r="C321" s="8"/>
      <c r="D321" s="3"/>
      <c r="E321" s="3"/>
      <c r="F321" s="3"/>
      <c r="G321" s="3"/>
    </row>
    <row r="322" spans="1:7" ht="12.75">
      <c r="A322" s="3"/>
      <c r="B322" s="85"/>
      <c r="C322" s="8"/>
      <c r="D322" s="3"/>
      <c r="E322" s="3"/>
      <c r="F322" s="3"/>
      <c r="G322" s="3"/>
    </row>
    <row r="323" spans="1:7" ht="12.75">
      <c r="A323" s="3"/>
      <c r="B323" s="85"/>
      <c r="C323" s="8"/>
      <c r="D323" s="3"/>
      <c r="E323" s="3"/>
      <c r="F323" s="3"/>
      <c r="G323" s="3"/>
    </row>
    <row r="324" spans="1:7" ht="12.75">
      <c r="A324" s="3"/>
      <c r="B324" s="85"/>
      <c r="C324" s="8"/>
      <c r="D324" s="3"/>
      <c r="E324" s="3"/>
      <c r="F324" s="3"/>
      <c r="G324" s="3"/>
    </row>
    <row r="325" spans="1:7" ht="12.75">
      <c r="A325" s="3"/>
      <c r="B325" s="85"/>
      <c r="C325" s="8"/>
      <c r="D325" s="3"/>
      <c r="E325" s="3"/>
      <c r="F325" s="3"/>
      <c r="G325" s="3"/>
    </row>
    <row r="326" spans="1:7" ht="12.75">
      <c r="A326" s="3"/>
      <c r="B326" s="85"/>
      <c r="C326" s="8"/>
      <c r="D326" s="3"/>
      <c r="E326" s="3"/>
      <c r="F326" s="3"/>
      <c r="G326" s="3"/>
    </row>
    <row r="327" spans="1:7" ht="12.75">
      <c r="A327" s="3"/>
      <c r="B327" s="85"/>
      <c r="C327" s="8"/>
      <c r="D327" s="3"/>
      <c r="E327" s="3"/>
      <c r="F327" s="3"/>
      <c r="G327" s="3"/>
    </row>
    <row r="328" spans="1:7" ht="12.75">
      <c r="A328" s="3"/>
      <c r="B328" s="85"/>
      <c r="C328" s="8"/>
      <c r="D328" s="3"/>
      <c r="E328" s="3"/>
      <c r="F328" s="3"/>
      <c r="G328" s="3"/>
    </row>
    <row r="329" spans="1:7" ht="12.75">
      <c r="A329" s="3"/>
      <c r="B329" s="85"/>
      <c r="C329" s="8"/>
      <c r="D329" s="3"/>
      <c r="E329" s="3"/>
      <c r="F329" s="3"/>
      <c r="G329" s="3"/>
    </row>
    <row r="330" spans="1:7" ht="12.75">
      <c r="A330" s="3"/>
      <c r="B330" s="85"/>
      <c r="C330" s="8"/>
      <c r="D330" s="3"/>
      <c r="E330" s="3"/>
      <c r="F330" s="3"/>
      <c r="G330" s="3"/>
    </row>
    <row r="331" spans="1:7" ht="12.75">
      <c r="A331" s="3"/>
      <c r="B331" s="85"/>
      <c r="C331" s="8"/>
      <c r="D331" s="3"/>
      <c r="E331" s="3"/>
      <c r="F331" s="3"/>
      <c r="G331" s="3"/>
    </row>
    <row r="332" spans="1:7" ht="12.75">
      <c r="A332" s="3"/>
      <c r="B332" s="85"/>
      <c r="C332" s="8"/>
      <c r="D332" s="3"/>
      <c r="E332" s="3"/>
      <c r="F332" s="3"/>
      <c r="G332" s="3"/>
    </row>
    <row r="333" spans="1:7" ht="12.75">
      <c r="A333" s="3"/>
      <c r="B333" s="85"/>
      <c r="C333" s="8"/>
      <c r="D333" s="3"/>
      <c r="E333" s="3"/>
      <c r="F333" s="3"/>
      <c r="G333" s="3"/>
    </row>
    <row r="334" spans="1:7" ht="12.75">
      <c r="A334" s="3"/>
      <c r="B334" s="85"/>
      <c r="C334" s="8"/>
      <c r="D334" s="3"/>
      <c r="E334" s="3"/>
      <c r="F334" s="3"/>
      <c r="G334" s="3"/>
    </row>
    <row r="335" spans="1:7" ht="12.75">
      <c r="A335" s="3"/>
      <c r="B335" s="85"/>
      <c r="C335" s="8"/>
      <c r="D335" s="3"/>
      <c r="E335" s="3"/>
      <c r="F335" s="3"/>
      <c r="G335" s="3"/>
    </row>
    <row r="336" spans="1:7" ht="12.75">
      <c r="A336" s="3"/>
      <c r="B336" s="85"/>
      <c r="C336" s="8"/>
      <c r="D336" s="3"/>
      <c r="E336" s="3"/>
      <c r="F336" s="3"/>
      <c r="G336" s="3"/>
    </row>
    <row r="337" spans="1:7" ht="12.75">
      <c r="A337" s="3"/>
      <c r="B337" s="85"/>
      <c r="C337" s="8"/>
      <c r="D337" s="3"/>
      <c r="E337" s="3"/>
      <c r="F337" s="3"/>
      <c r="G337" s="3"/>
    </row>
    <row r="338" spans="1:7" ht="12.75">
      <c r="A338" s="3"/>
      <c r="B338" s="85"/>
      <c r="C338" s="8"/>
      <c r="D338" s="3"/>
      <c r="E338" s="3"/>
      <c r="F338" s="3"/>
      <c r="G338" s="3"/>
    </row>
    <row r="339" spans="1:7" ht="12.75">
      <c r="A339" s="3"/>
      <c r="B339" s="85"/>
      <c r="C339" s="8"/>
      <c r="D339" s="3"/>
      <c r="E339" s="3"/>
      <c r="F339" s="3"/>
      <c r="G339" s="3"/>
    </row>
    <row r="340" spans="1:7" ht="12.75">
      <c r="A340" s="3"/>
      <c r="B340" s="85"/>
      <c r="C340" s="8"/>
      <c r="D340" s="3"/>
      <c r="E340" s="3"/>
      <c r="F340" s="3"/>
      <c r="G340" s="3"/>
    </row>
    <row r="341" spans="1:7" ht="12.75">
      <c r="A341" s="3"/>
      <c r="B341" s="85"/>
      <c r="C341" s="8"/>
      <c r="D341" s="3"/>
      <c r="E341" s="3"/>
      <c r="F341" s="3"/>
      <c r="G341" s="3"/>
    </row>
    <row r="342" spans="1:7" ht="12.75">
      <c r="A342" s="3"/>
      <c r="B342" s="85"/>
      <c r="C342" s="8"/>
      <c r="D342" s="3"/>
      <c r="E342" s="3"/>
      <c r="F342" s="3"/>
      <c r="G342" s="3"/>
    </row>
    <row r="343" spans="1:7" ht="12.75">
      <c r="A343" s="3"/>
      <c r="B343" s="85"/>
      <c r="C343" s="8"/>
      <c r="D343" s="3"/>
      <c r="E343" s="3"/>
      <c r="F343" s="3"/>
      <c r="G343" s="3"/>
    </row>
    <row r="344" spans="1:7" ht="12.75">
      <c r="A344" s="3"/>
      <c r="B344" s="85"/>
      <c r="C344" s="8"/>
      <c r="D344" s="3"/>
      <c r="E344" s="3"/>
      <c r="F344" s="3"/>
      <c r="G344" s="3"/>
    </row>
    <row r="345" spans="1:7" ht="12.75">
      <c r="A345" s="3"/>
      <c r="B345" s="85"/>
      <c r="C345" s="8"/>
      <c r="D345" s="3"/>
      <c r="E345" s="3"/>
      <c r="F345" s="3"/>
      <c r="G345" s="3"/>
    </row>
    <row r="346" spans="1:7" ht="12.75">
      <c r="A346" s="3"/>
      <c r="B346" s="85"/>
      <c r="C346" s="8"/>
      <c r="D346" s="3"/>
      <c r="E346" s="3"/>
      <c r="F346" s="3"/>
      <c r="G346" s="3"/>
    </row>
    <row r="347" spans="1:7" ht="12.75">
      <c r="A347" s="3"/>
      <c r="B347" s="85"/>
      <c r="C347" s="8"/>
      <c r="D347" s="3"/>
      <c r="E347" s="3"/>
      <c r="F347" s="3"/>
      <c r="G347" s="3"/>
    </row>
    <row r="348" spans="1:7" ht="12.75">
      <c r="A348" s="3"/>
      <c r="B348" s="85"/>
      <c r="C348" s="8"/>
      <c r="D348" s="3"/>
      <c r="E348" s="3"/>
      <c r="F348" s="3"/>
      <c r="G348" s="3"/>
    </row>
    <row r="349" spans="1:7" ht="12.75">
      <c r="A349" s="3"/>
      <c r="B349" s="85"/>
      <c r="C349" s="8"/>
      <c r="D349" s="3"/>
      <c r="E349" s="3"/>
      <c r="F349" s="3"/>
      <c r="G349" s="3"/>
    </row>
    <row r="350" spans="1:7" ht="12.75">
      <c r="A350" s="3"/>
      <c r="B350" s="85"/>
      <c r="C350" s="8"/>
      <c r="D350" s="3"/>
      <c r="E350" s="3"/>
      <c r="F350" s="3"/>
      <c r="G350" s="3"/>
    </row>
    <row r="351" spans="1:7" ht="12.75">
      <c r="A351" s="3"/>
      <c r="B351" s="85"/>
      <c r="C351" s="8"/>
      <c r="D351" s="3"/>
      <c r="E351" s="3"/>
      <c r="F351" s="3"/>
      <c r="G351" s="3"/>
    </row>
    <row r="352" spans="1:7" ht="12.75">
      <c r="A352" s="3"/>
      <c r="B352" s="85"/>
      <c r="C352" s="8"/>
      <c r="D352" s="3"/>
      <c r="E352" s="3"/>
      <c r="F352" s="3"/>
      <c r="G352" s="3"/>
    </row>
    <row r="353" spans="1:7" ht="12.75">
      <c r="A353" s="3"/>
      <c r="B353" s="85"/>
      <c r="C353" s="8"/>
      <c r="D353" s="3"/>
      <c r="E353" s="3"/>
      <c r="F353" s="3"/>
      <c r="G353" s="3"/>
    </row>
    <row r="354" spans="1:7" ht="12.75">
      <c r="A354" s="3"/>
      <c r="B354" s="85"/>
      <c r="C354" s="8"/>
      <c r="D354" s="3"/>
      <c r="E354" s="3"/>
      <c r="F354" s="3"/>
      <c r="G354" s="3"/>
    </row>
    <row r="355" spans="1:7" ht="12.75">
      <c r="A355" s="3"/>
      <c r="B355" s="85"/>
      <c r="C355" s="8"/>
      <c r="D355" s="3"/>
      <c r="E355" s="3"/>
      <c r="F355" s="3"/>
      <c r="G355" s="3"/>
    </row>
    <row r="356" spans="1:7" ht="12.75">
      <c r="A356" s="3"/>
      <c r="B356" s="85"/>
      <c r="C356" s="8"/>
      <c r="D356" s="3"/>
      <c r="E356" s="3"/>
      <c r="F356" s="3"/>
      <c r="G356" s="3"/>
    </row>
    <row r="357" spans="1:7" ht="12.75">
      <c r="A357" s="3"/>
      <c r="B357" s="85"/>
      <c r="C357" s="8"/>
      <c r="D357" s="3"/>
      <c r="E357" s="3"/>
      <c r="F357" s="3"/>
      <c r="G357" s="3"/>
    </row>
    <row r="358" spans="1:7" ht="12.75">
      <c r="A358" s="3"/>
      <c r="B358" s="85"/>
      <c r="C358" s="8"/>
      <c r="D358" s="3"/>
      <c r="E358" s="3"/>
      <c r="F358" s="3"/>
      <c r="G358" s="3"/>
    </row>
    <row r="359" spans="1:7" ht="12.75">
      <c r="A359" s="3"/>
      <c r="B359" s="85"/>
      <c r="C359" s="8"/>
      <c r="D359" s="3"/>
      <c r="E359" s="3"/>
      <c r="F359" s="3"/>
      <c r="G359" s="3"/>
    </row>
    <row r="360" spans="1:7" ht="12.75">
      <c r="A360" s="3"/>
      <c r="B360" s="85"/>
      <c r="C360" s="8"/>
      <c r="D360" s="3"/>
      <c r="E360" s="3"/>
      <c r="F360" s="3"/>
      <c r="G360" s="3"/>
    </row>
    <row r="361" spans="1:7" ht="12.75">
      <c r="A361" s="3"/>
      <c r="B361" s="85"/>
      <c r="C361" s="8"/>
      <c r="D361" s="3"/>
      <c r="E361" s="3"/>
      <c r="F361" s="3"/>
      <c r="G361" s="3"/>
    </row>
    <row r="362" spans="1:7" ht="12.75">
      <c r="A362" s="3"/>
      <c r="B362" s="85"/>
      <c r="C362" s="8"/>
      <c r="D362" s="3"/>
      <c r="E362" s="3"/>
      <c r="F362" s="3"/>
      <c r="G362" s="3"/>
    </row>
    <row r="363" spans="1:7" ht="12.75">
      <c r="A363" s="3"/>
      <c r="B363" s="85"/>
      <c r="C363" s="8"/>
      <c r="D363" s="3"/>
      <c r="E363" s="3"/>
      <c r="F363" s="3"/>
      <c r="G363" s="3"/>
    </row>
    <row r="364" spans="1:7" ht="12.75">
      <c r="A364" s="3"/>
      <c r="B364" s="85"/>
      <c r="C364" s="8"/>
      <c r="D364" s="3"/>
      <c r="E364" s="3"/>
      <c r="F364" s="3"/>
      <c r="G364" s="3"/>
    </row>
    <row r="365" spans="1:7" ht="12.75">
      <c r="A365" s="3"/>
      <c r="B365" s="85"/>
      <c r="C365" s="8"/>
      <c r="D365" s="3"/>
      <c r="E365" s="3"/>
      <c r="F365" s="3"/>
      <c r="G365" s="3"/>
    </row>
    <row r="366" spans="1:7" ht="12.75">
      <c r="A366" s="3"/>
      <c r="B366" s="85"/>
      <c r="C366" s="8"/>
      <c r="D366" s="3"/>
      <c r="E366" s="3"/>
      <c r="F366" s="3"/>
      <c r="G366" s="3"/>
    </row>
    <row r="367" spans="1:7" ht="12.75">
      <c r="A367" s="3"/>
      <c r="B367" s="85"/>
      <c r="C367" s="8"/>
      <c r="D367" s="3"/>
      <c r="E367" s="3"/>
      <c r="F367" s="3"/>
      <c r="G367" s="3"/>
    </row>
    <row r="368" spans="1:7" ht="12.75">
      <c r="A368" s="3"/>
      <c r="B368" s="85"/>
      <c r="C368" s="8"/>
      <c r="D368" s="3"/>
      <c r="E368" s="3"/>
      <c r="F368" s="3"/>
      <c r="G368" s="3"/>
    </row>
    <row r="369" spans="1:7" ht="12.75">
      <c r="A369" s="3"/>
      <c r="B369" s="85"/>
      <c r="C369" s="8"/>
      <c r="D369" s="3"/>
      <c r="E369" s="3"/>
      <c r="F369" s="3"/>
      <c r="G369" s="3"/>
    </row>
    <row r="370" spans="1:7" ht="12.75">
      <c r="A370" s="3"/>
      <c r="B370" s="85"/>
      <c r="C370" s="8"/>
      <c r="D370" s="3"/>
      <c r="E370" s="3"/>
      <c r="F370" s="3"/>
      <c r="G370" s="3"/>
    </row>
    <row r="371" spans="1:7" ht="12.75">
      <c r="A371" s="3"/>
      <c r="B371" s="85"/>
      <c r="C371" s="8"/>
      <c r="D371" s="3"/>
      <c r="E371" s="3"/>
      <c r="F371" s="3"/>
      <c r="G371" s="3"/>
    </row>
    <row r="372" spans="1:7" ht="12.75">
      <c r="A372" s="3"/>
      <c r="B372" s="85"/>
      <c r="C372" s="8"/>
      <c r="D372" s="3"/>
      <c r="E372" s="3"/>
      <c r="F372" s="3"/>
      <c r="G372" s="3"/>
    </row>
    <row r="373" spans="1:7" ht="12.75">
      <c r="A373" s="3"/>
      <c r="B373" s="85"/>
      <c r="C373" s="8"/>
      <c r="D373" s="3"/>
      <c r="E373" s="3"/>
      <c r="F373" s="3"/>
      <c r="G373" s="3"/>
    </row>
    <row r="374" spans="1:7" ht="12.75">
      <c r="A374" s="3"/>
      <c r="B374" s="85"/>
      <c r="C374" s="8"/>
      <c r="D374" s="3"/>
      <c r="E374" s="3"/>
      <c r="F374" s="3"/>
      <c r="G374" s="3"/>
    </row>
    <row r="375" spans="1:7" ht="12.75">
      <c r="A375" s="3"/>
      <c r="B375" s="85"/>
      <c r="C375" s="8"/>
      <c r="D375" s="3"/>
      <c r="E375" s="3"/>
      <c r="F375" s="3"/>
      <c r="G375" s="3"/>
    </row>
    <row r="376" spans="1:7" ht="12.75">
      <c r="A376" s="3"/>
      <c r="B376" s="85"/>
      <c r="C376" s="8"/>
      <c r="D376" s="3"/>
      <c r="E376" s="3"/>
      <c r="F376" s="3"/>
      <c r="G376" s="3"/>
    </row>
    <row r="377" spans="1:7" ht="12.75">
      <c r="A377" s="3"/>
      <c r="B377" s="85"/>
      <c r="C377" s="8"/>
      <c r="D377" s="3"/>
      <c r="E377" s="3"/>
      <c r="F377" s="3"/>
      <c r="G377" s="3"/>
    </row>
    <row r="378" spans="1:7" ht="12.75">
      <c r="A378" s="3"/>
      <c r="B378" s="85"/>
      <c r="C378" s="8"/>
      <c r="D378" s="3"/>
      <c r="E378" s="3"/>
      <c r="F378" s="3"/>
      <c r="G378" s="3"/>
    </row>
    <row r="379" spans="1:7" ht="12.75">
      <c r="A379" s="3"/>
      <c r="B379" s="85"/>
      <c r="C379" s="8"/>
      <c r="D379" s="3"/>
      <c r="E379" s="3"/>
      <c r="F379" s="3"/>
      <c r="G379" s="3"/>
    </row>
    <row r="380" spans="1:7" ht="12.75">
      <c r="A380" s="3"/>
      <c r="B380" s="85"/>
      <c r="C380" s="8"/>
      <c r="D380" s="3"/>
      <c r="E380" s="3"/>
      <c r="F380" s="3"/>
      <c r="G380" s="3"/>
    </row>
    <row r="381" spans="1:7" ht="12.75">
      <c r="A381" s="3"/>
      <c r="B381" s="85"/>
      <c r="C381" s="8"/>
      <c r="D381" s="3"/>
      <c r="E381" s="3"/>
      <c r="F381" s="3"/>
      <c r="G381" s="3"/>
    </row>
    <row r="382" spans="1:7" ht="12.75">
      <c r="A382" s="3"/>
      <c r="B382" s="85"/>
      <c r="C382" s="8"/>
      <c r="D382" s="3"/>
      <c r="E382" s="3"/>
      <c r="F382" s="3"/>
      <c r="G382" s="3"/>
    </row>
    <row r="383" spans="1:7" ht="12.75">
      <c r="A383" s="3"/>
      <c r="B383" s="85"/>
      <c r="C383" s="8"/>
      <c r="D383" s="3"/>
      <c r="E383" s="3"/>
      <c r="F383" s="3"/>
      <c r="G383" s="3"/>
    </row>
    <row r="384" spans="1:7" ht="12.75">
      <c r="A384" s="3"/>
      <c r="B384" s="85"/>
      <c r="C384" s="8"/>
      <c r="D384" s="3"/>
      <c r="E384" s="3"/>
      <c r="F384" s="3"/>
      <c r="G384" s="3"/>
    </row>
    <row r="385" spans="1:7" ht="12.75">
      <c r="A385" s="3"/>
      <c r="B385" s="85"/>
      <c r="C385" s="8"/>
      <c r="D385" s="3"/>
      <c r="E385" s="3"/>
      <c r="F385" s="3"/>
      <c r="G385" s="3"/>
    </row>
    <row r="386" spans="1:7" ht="12.75">
      <c r="A386" s="3"/>
      <c r="B386" s="85"/>
      <c r="C386" s="8"/>
      <c r="D386" s="3"/>
      <c r="E386" s="3"/>
      <c r="F386" s="3"/>
      <c r="G386" s="3"/>
    </row>
    <row r="387" spans="1:7" ht="12.75">
      <c r="A387" s="3"/>
      <c r="B387" s="85"/>
      <c r="C387" s="8"/>
      <c r="D387" s="3"/>
      <c r="E387" s="3"/>
      <c r="F387" s="3"/>
      <c r="G387" s="3"/>
    </row>
    <row r="388" spans="1:7" ht="12.75">
      <c r="A388" s="3"/>
      <c r="B388" s="85"/>
      <c r="C388" s="8"/>
      <c r="D388" s="3"/>
      <c r="E388" s="3"/>
      <c r="F388" s="3"/>
      <c r="G388" s="3"/>
    </row>
    <row r="389" spans="1:7" ht="12.75">
      <c r="A389" s="3"/>
      <c r="B389" s="85"/>
      <c r="C389" s="8"/>
      <c r="D389" s="3"/>
      <c r="E389" s="3"/>
      <c r="F389" s="3"/>
      <c r="G389" s="3"/>
    </row>
    <row r="390" spans="1:7" ht="12.75">
      <c r="A390" s="3"/>
      <c r="B390" s="85"/>
      <c r="C390" s="8"/>
      <c r="D390" s="3"/>
      <c r="E390" s="3"/>
      <c r="F390" s="3"/>
      <c r="G390" s="3"/>
    </row>
    <row r="391" spans="1:7" ht="12.75">
      <c r="A391" s="3"/>
      <c r="B391" s="85"/>
      <c r="C391" s="8"/>
      <c r="D391" s="3"/>
      <c r="E391" s="3"/>
      <c r="F391" s="3"/>
      <c r="G391" s="3"/>
    </row>
    <row r="392" spans="1:7" ht="12.75">
      <c r="A392" s="3"/>
      <c r="B392" s="85"/>
      <c r="C392" s="8"/>
      <c r="D392" s="3"/>
      <c r="E392" s="3"/>
      <c r="F392" s="3"/>
      <c r="G392" s="3"/>
    </row>
    <row r="393" spans="1:7" ht="12.75">
      <c r="A393" s="3"/>
      <c r="B393" s="85"/>
      <c r="C393" s="8"/>
      <c r="D393" s="3"/>
      <c r="E393" s="3"/>
      <c r="F393" s="3"/>
      <c r="G393" s="3"/>
    </row>
    <row r="394" spans="1:7" ht="12.75">
      <c r="A394" s="3"/>
      <c r="B394" s="85"/>
      <c r="C394" s="8"/>
      <c r="D394" s="3"/>
      <c r="E394" s="3"/>
      <c r="F394" s="3"/>
      <c r="G394" s="3"/>
    </row>
    <row r="395" spans="1:7" ht="12.75">
      <c r="A395" s="3"/>
      <c r="B395" s="85"/>
      <c r="C395" s="8"/>
      <c r="D395" s="3"/>
      <c r="E395" s="3"/>
      <c r="F395" s="3"/>
      <c r="G395" s="3"/>
    </row>
    <row r="396" spans="1:7" ht="12.75">
      <c r="A396" s="3"/>
      <c r="B396" s="85"/>
      <c r="C396" s="8"/>
      <c r="D396" s="3"/>
      <c r="E396" s="3"/>
      <c r="F396" s="3"/>
      <c r="G396" s="3"/>
    </row>
    <row r="397" spans="1:7" ht="12.75">
      <c r="A397" s="3"/>
      <c r="B397" s="85"/>
      <c r="C397" s="8"/>
      <c r="D397" s="3"/>
      <c r="E397" s="3"/>
      <c r="F397" s="3"/>
      <c r="G397" s="3"/>
    </row>
    <row r="398" spans="1:7" ht="12.75">
      <c r="A398" s="3"/>
      <c r="B398" s="85"/>
      <c r="C398" s="8"/>
      <c r="D398" s="3"/>
      <c r="E398" s="3"/>
      <c r="F398" s="3"/>
      <c r="G398" s="3"/>
    </row>
    <row r="399" spans="1:7" ht="12.75">
      <c r="A399" s="3"/>
      <c r="B399" s="85"/>
      <c r="C399" s="8"/>
      <c r="D399" s="3"/>
      <c r="E399" s="3"/>
      <c r="F399" s="3"/>
      <c r="G399" s="3"/>
    </row>
    <row r="400" spans="1:7" ht="12.75">
      <c r="A400" s="3"/>
      <c r="B400" s="85"/>
      <c r="C400" s="8"/>
      <c r="D400" s="3"/>
      <c r="E400" s="3"/>
      <c r="F400" s="3"/>
      <c r="G400" s="3"/>
    </row>
    <row r="401" spans="1:7" ht="12.75">
      <c r="A401" s="3"/>
      <c r="B401" s="85"/>
      <c r="C401" s="8"/>
      <c r="D401" s="3"/>
      <c r="E401" s="3"/>
      <c r="F401" s="3"/>
      <c r="G401" s="3"/>
    </row>
    <row r="402" spans="1:7" ht="12.75">
      <c r="A402" s="3"/>
      <c r="B402" s="85"/>
      <c r="C402" s="8"/>
      <c r="D402" s="3"/>
      <c r="E402" s="3"/>
      <c r="F402" s="3"/>
      <c r="G402" s="3"/>
    </row>
    <row r="403" spans="1:7" ht="12.75">
      <c r="A403" s="3"/>
      <c r="B403" s="85"/>
      <c r="C403" s="8"/>
      <c r="D403" s="3"/>
      <c r="E403" s="3"/>
      <c r="F403" s="3"/>
      <c r="G403" s="3"/>
    </row>
    <row r="404" spans="1:7" ht="12.75">
      <c r="A404" s="3"/>
      <c r="B404" s="85"/>
      <c r="C404" s="8"/>
      <c r="D404" s="3"/>
      <c r="E404" s="3"/>
      <c r="F404" s="3"/>
      <c r="G404" s="3"/>
    </row>
    <row r="405" spans="1:7" ht="12.75">
      <c r="A405" s="3"/>
      <c r="B405" s="85"/>
      <c r="C405" s="8"/>
      <c r="D405" s="3"/>
      <c r="E405" s="3"/>
      <c r="F405" s="3"/>
      <c r="G405" s="3"/>
    </row>
    <row r="406" spans="1:7" ht="12.75">
      <c r="A406" s="3"/>
      <c r="B406" s="85"/>
      <c r="C406" s="8"/>
      <c r="D406" s="3"/>
      <c r="E406" s="3"/>
      <c r="F406" s="3"/>
      <c r="G406" s="3"/>
    </row>
    <row r="407" spans="1:7" ht="12.75">
      <c r="A407" s="3"/>
      <c r="B407" s="85"/>
      <c r="C407" s="8"/>
      <c r="D407" s="3"/>
      <c r="E407" s="3"/>
      <c r="F407" s="3"/>
      <c r="G407" s="3"/>
    </row>
    <row r="408" spans="1:7" ht="12.75">
      <c r="A408" s="3"/>
      <c r="B408" s="85"/>
      <c r="C408" s="8"/>
      <c r="D408" s="3"/>
      <c r="E408" s="3"/>
      <c r="F408" s="3"/>
      <c r="G408" s="3"/>
    </row>
    <row r="409" spans="1:7" ht="12.75">
      <c r="A409" s="3"/>
      <c r="B409" s="85"/>
      <c r="C409" s="8"/>
      <c r="D409" s="3"/>
      <c r="E409" s="3"/>
      <c r="F409" s="3"/>
      <c r="G409" s="3"/>
    </row>
    <row r="410" spans="1:7" ht="12.75">
      <c r="A410" s="3"/>
      <c r="B410" s="85"/>
      <c r="C410" s="8"/>
      <c r="D410" s="3"/>
      <c r="E410" s="3"/>
      <c r="F410" s="3"/>
      <c r="G410" s="3"/>
    </row>
    <row r="411" spans="1:7" ht="12.75">
      <c r="A411" s="3"/>
      <c r="B411" s="85"/>
      <c r="C411" s="8"/>
      <c r="D411" s="3"/>
      <c r="E411" s="3"/>
      <c r="F411" s="3"/>
      <c r="G411" s="3"/>
    </row>
    <row r="412" spans="1:7" ht="12.75">
      <c r="A412" s="3"/>
      <c r="B412" s="85"/>
      <c r="C412" s="8"/>
      <c r="D412" s="3"/>
      <c r="E412" s="3"/>
      <c r="F412" s="3"/>
      <c r="G412" s="3"/>
    </row>
    <row r="413" spans="1:7" ht="12.75">
      <c r="A413" s="3"/>
      <c r="B413" s="85"/>
      <c r="C413" s="8"/>
      <c r="D413" s="3"/>
      <c r="E413" s="3"/>
      <c r="F413" s="3"/>
      <c r="G413" s="3"/>
    </row>
    <row r="414" spans="1:7" ht="12.75">
      <c r="A414" s="3"/>
      <c r="B414" s="85"/>
      <c r="C414" s="8"/>
      <c r="D414" s="3"/>
      <c r="E414" s="3"/>
      <c r="F414" s="3"/>
      <c r="G414" s="3"/>
    </row>
    <row r="415" spans="1:7" ht="12.75">
      <c r="A415" s="3"/>
      <c r="B415" s="85"/>
      <c r="C415" s="8"/>
      <c r="D415" s="3"/>
      <c r="E415" s="3"/>
      <c r="F415" s="3"/>
      <c r="G415" s="3"/>
    </row>
    <row r="416" spans="1:7" ht="12.75">
      <c r="A416" s="3"/>
      <c r="B416" s="85"/>
      <c r="C416" s="8"/>
      <c r="D416" s="3"/>
      <c r="E416" s="3"/>
      <c r="F416" s="3"/>
      <c r="G416" s="3"/>
    </row>
    <row r="417" spans="1:7" ht="12.75">
      <c r="A417" s="3"/>
      <c r="B417" s="85"/>
      <c r="C417" s="8"/>
      <c r="D417" s="3"/>
      <c r="E417" s="3"/>
      <c r="F417" s="3"/>
      <c r="G417" s="3"/>
    </row>
    <row r="418" spans="1:7" ht="12.75">
      <c r="A418" s="3"/>
      <c r="B418" s="85"/>
      <c r="C418" s="8"/>
      <c r="D418" s="3"/>
      <c r="E418" s="3"/>
      <c r="F418" s="3"/>
      <c r="G418" s="3"/>
    </row>
    <row r="419" spans="1:7" ht="12.75">
      <c r="A419" s="3"/>
      <c r="B419" s="85"/>
      <c r="C419" s="8"/>
      <c r="D419" s="3"/>
      <c r="E419" s="3"/>
      <c r="F419" s="3"/>
      <c r="G419" s="3"/>
    </row>
    <row r="420" spans="1:7" ht="12.75">
      <c r="A420" s="3"/>
      <c r="B420" s="85"/>
      <c r="C420" s="8"/>
      <c r="D420" s="3"/>
      <c r="E420" s="3"/>
      <c r="F420" s="3"/>
      <c r="G420" s="3"/>
    </row>
    <row r="421" spans="1:7" ht="12.75">
      <c r="A421" s="3"/>
      <c r="B421" s="85"/>
      <c r="C421" s="8"/>
      <c r="D421" s="3"/>
      <c r="E421" s="3"/>
      <c r="F421" s="3"/>
      <c r="G421" s="3"/>
    </row>
    <row r="422" spans="1:7" ht="12.75">
      <c r="A422" s="3"/>
      <c r="B422" s="85"/>
      <c r="C422" s="8"/>
      <c r="D422" s="3"/>
      <c r="E422" s="3"/>
      <c r="F422" s="3"/>
      <c r="G422" s="3"/>
    </row>
    <row r="423" spans="1:7" ht="12.75">
      <c r="A423" s="3"/>
      <c r="B423" s="85"/>
      <c r="C423" s="8"/>
      <c r="D423" s="3"/>
      <c r="E423" s="3"/>
      <c r="F423" s="3"/>
      <c r="G423" s="3"/>
    </row>
    <row r="424" spans="1:7" ht="12.75">
      <c r="A424" s="3"/>
      <c r="B424" s="85"/>
      <c r="C424" s="8"/>
      <c r="D424" s="3"/>
      <c r="E424" s="3"/>
      <c r="F424" s="3"/>
      <c r="G424" s="3"/>
    </row>
    <row r="425" spans="1:7" ht="12.75">
      <c r="A425" s="3"/>
      <c r="B425" s="85"/>
      <c r="C425" s="8"/>
      <c r="D425" s="3"/>
      <c r="E425" s="3"/>
      <c r="F425" s="3"/>
      <c r="G425" s="3"/>
    </row>
    <row r="426" spans="1:7" ht="12.75">
      <c r="A426" s="3"/>
      <c r="B426" s="85"/>
      <c r="C426" s="8"/>
      <c r="D426" s="3"/>
      <c r="E426" s="3"/>
      <c r="F426" s="3"/>
      <c r="G426" s="3"/>
    </row>
    <row r="427" spans="1:7" ht="12.75">
      <c r="A427" s="3"/>
      <c r="B427" s="85"/>
      <c r="C427" s="8"/>
      <c r="D427" s="3"/>
      <c r="E427" s="3"/>
      <c r="F427" s="3"/>
      <c r="G427" s="3"/>
    </row>
    <row r="428" spans="1:7" ht="12.75">
      <c r="A428" s="3"/>
      <c r="B428" s="85"/>
      <c r="C428" s="8"/>
      <c r="D428" s="3"/>
      <c r="E428" s="3"/>
      <c r="F428" s="3"/>
      <c r="G428" s="3"/>
    </row>
    <row r="429" spans="1:7" ht="12.75">
      <c r="A429" s="3"/>
      <c r="B429" s="85"/>
      <c r="C429" s="8"/>
      <c r="D429" s="3"/>
      <c r="E429" s="3"/>
      <c r="F429" s="3"/>
      <c r="G429" s="3"/>
    </row>
    <row r="430" spans="1:7" ht="12.75">
      <c r="A430" s="3"/>
      <c r="B430" s="85"/>
      <c r="C430" s="8"/>
      <c r="D430" s="3"/>
      <c r="E430" s="3"/>
      <c r="F430" s="3"/>
      <c r="G430" s="3"/>
    </row>
    <row r="431" spans="1:7" ht="12.75">
      <c r="A431" s="3"/>
      <c r="B431" s="85"/>
      <c r="C431" s="8"/>
      <c r="D431" s="3"/>
      <c r="E431" s="3"/>
      <c r="F431" s="3"/>
      <c r="G431" s="3"/>
    </row>
    <row r="432" spans="1:7" ht="12.75">
      <c r="A432" s="3"/>
      <c r="B432" s="85"/>
      <c r="C432" s="8"/>
      <c r="D432" s="3"/>
      <c r="E432" s="3"/>
      <c r="F432" s="3"/>
      <c r="G432" s="3"/>
    </row>
    <row r="433" spans="1:7" ht="12.75">
      <c r="A433" s="3"/>
      <c r="B433" s="85"/>
      <c r="C433" s="8"/>
      <c r="D433" s="3"/>
      <c r="E433" s="3"/>
      <c r="F433" s="3"/>
      <c r="G433" s="3"/>
    </row>
    <row r="434" spans="1:7" ht="12.75">
      <c r="A434" s="3"/>
      <c r="B434" s="85"/>
      <c r="C434" s="8"/>
      <c r="D434" s="3"/>
      <c r="E434" s="3"/>
      <c r="F434" s="3"/>
      <c r="G434" s="3"/>
    </row>
    <row r="435" spans="1:7" ht="12.75">
      <c r="A435" s="3"/>
      <c r="B435" s="85"/>
      <c r="C435" s="8"/>
      <c r="D435" s="3"/>
      <c r="E435" s="3"/>
      <c r="F435" s="3"/>
      <c r="G435" s="3"/>
    </row>
    <row r="436" spans="1:7" ht="12.75">
      <c r="A436" s="3"/>
      <c r="B436" s="85"/>
      <c r="C436" s="8"/>
      <c r="D436" s="3"/>
      <c r="E436" s="3"/>
      <c r="F436" s="3"/>
      <c r="G436" s="3"/>
    </row>
    <row r="437" spans="1:7" ht="12.75">
      <c r="A437" s="3"/>
      <c r="B437" s="85"/>
      <c r="C437" s="8"/>
      <c r="D437" s="3"/>
      <c r="E437" s="3"/>
      <c r="F437" s="3"/>
      <c r="G437" s="3"/>
    </row>
    <row r="438" spans="1:7" ht="12.75">
      <c r="A438" s="3"/>
      <c r="B438" s="85"/>
      <c r="C438" s="8"/>
      <c r="D438" s="3"/>
      <c r="E438" s="3"/>
      <c r="F438" s="3"/>
      <c r="G438" s="3"/>
    </row>
    <row r="439" spans="1:7" ht="12.75">
      <c r="A439" s="3"/>
      <c r="B439" s="85"/>
      <c r="C439" s="8"/>
      <c r="D439" s="3"/>
      <c r="E439" s="3"/>
      <c r="F439" s="3"/>
      <c r="G439" s="3"/>
    </row>
    <row r="440" spans="1:7" ht="12.75">
      <c r="A440" s="3"/>
      <c r="B440" s="85"/>
      <c r="C440" s="8"/>
      <c r="D440" s="3"/>
      <c r="E440" s="3"/>
      <c r="F440" s="3"/>
      <c r="G440" s="3"/>
    </row>
    <row r="441" spans="1:7" ht="12.75">
      <c r="A441" s="3"/>
      <c r="B441" s="85"/>
      <c r="C441" s="8"/>
      <c r="D441" s="3"/>
      <c r="E441" s="3"/>
      <c r="F441" s="3"/>
      <c r="G441" s="3"/>
    </row>
    <row r="442" spans="1:7" ht="12.75">
      <c r="A442" s="3"/>
      <c r="B442" s="85"/>
      <c r="C442" s="8"/>
      <c r="D442" s="3"/>
      <c r="E442" s="3"/>
      <c r="F442" s="3"/>
      <c r="G442" s="3"/>
    </row>
    <row r="443" spans="1:7" ht="12.75">
      <c r="A443" s="3"/>
      <c r="B443" s="85"/>
      <c r="C443" s="8"/>
      <c r="D443" s="3"/>
      <c r="E443" s="3"/>
      <c r="F443" s="3"/>
      <c r="G443" s="3"/>
    </row>
    <row r="444" spans="1:7" ht="12.75">
      <c r="A444" s="3"/>
      <c r="B444" s="85"/>
      <c r="C444" s="8"/>
      <c r="D444" s="3"/>
      <c r="E444" s="3"/>
      <c r="F444" s="3"/>
      <c r="G444" s="3"/>
    </row>
    <row r="445" spans="1:7" ht="12.75">
      <c r="A445" s="3"/>
      <c r="B445" s="85"/>
      <c r="C445" s="8"/>
      <c r="D445" s="3"/>
      <c r="E445" s="3"/>
      <c r="F445" s="3"/>
      <c r="G445" s="3"/>
    </row>
    <row r="446" spans="1:7" ht="12.75">
      <c r="A446" s="3"/>
      <c r="B446" s="85"/>
      <c r="C446" s="8"/>
      <c r="D446" s="3"/>
      <c r="E446" s="3"/>
      <c r="F446" s="3"/>
      <c r="G446" s="3"/>
    </row>
    <row r="447" spans="1:7" ht="12.75">
      <c r="A447" s="3"/>
      <c r="B447" s="85"/>
      <c r="C447" s="8"/>
      <c r="D447" s="3"/>
      <c r="E447" s="3"/>
      <c r="F447" s="3"/>
      <c r="G447" s="3"/>
    </row>
    <row r="448" spans="1:7" ht="12.75">
      <c r="A448" s="3"/>
      <c r="B448" s="85"/>
      <c r="C448" s="8"/>
      <c r="D448" s="3"/>
      <c r="E448" s="3"/>
      <c r="F448" s="3"/>
      <c r="G448" s="3"/>
    </row>
    <row r="449" spans="1:7" ht="12.75">
      <c r="A449" s="3"/>
      <c r="B449" s="85"/>
      <c r="C449" s="8"/>
      <c r="D449" s="3"/>
      <c r="E449" s="3"/>
      <c r="F449" s="3"/>
      <c r="G449" s="3"/>
    </row>
    <row r="450" spans="1:7" ht="12.75">
      <c r="A450" s="3"/>
      <c r="B450" s="85"/>
      <c r="C450" s="8"/>
      <c r="D450" s="3"/>
      <c r="E450" s="3"/>
      <c r="F450" s="3"/>
      <c r="G450" s="3"/>
    </row>
    <row r="451" spans="1:7" ht="12.75">
      <c r="A451" s="3"/>
      <c r="B451" s="85"/>
      <c r="C451" s="8"/>
      <c r="D451" s="3"/>
      <c r="E451" s="3"/>
      <c r="F451" s="3"/>
      <c r="G451" s="3"/>
    </row>
    <row r="452" spans="1:7" ht="12.75">
      <c r="A452" s="3"/>
      <c r="B452" s="85"/>
      <c r="C452" s="8"/>
      <c r="D452" s="3"/>
      <c r="E452" s="3"/>
      <c r="F452" s="3"/>
      <c r="G452" s="3"/>
    </row>
    <row r="453" spans="1:7" ht="12.75">
      <c r="A453" s="3"/>
      <c r="B453" s="85"/>
      <c r="C453" s="8"/>
      <c r="D453" s="3"/>
      <c r="E453" s="3"/>
      <c r="F453" s="3"/>
      <c r="G453" s="3"/>
    </row>
    <row r="454" spans="1:7" ht="12.75">
      <c r="A454" s="3"/>
      <c r="B454" s="85"/>
      <c r="C454" s="8"/>
      <c r="D454" s="3"/>
      <c r="E454" s="3"/>
      <c r="F454" s="3"/>
      <c r="G454" s="3"/>
    </row>
    <row r="455" spans="1:7" ht="12.75">
      <c r="A455" s="3"/>
      <c r="B455" s="85"/>
      <c r="C455" s="8"/>
      <c r="D455" s="3"/>
      <c r="E455" s="3"/>
      <c r="F455" s="3"/>
      <c r="G455" s="3"/>
    </row>
    <row r="456" spans="1:7" ht="12.75">
      <c r="A456" s="3"/>
      <c r="B456" s="85"/>
      <c r="C456" s="8"/>
      <c r="D456" s="3"/>
      <c r="E456" s="3"/>
      <c r="F456" s="3"/>
      <c r="G456" s="3"/>
    </row>
    <row r="457" spans="1:7" ht="12.75">
      <c r="A457" s="3"/>
      <c r="B457" s="85"/>
      <c r="C457" s="8"/>
      <c r="D457" s="3"/>
      <c r="E457" s="3"/>
      <c r="F457" s="3"/>
      <c r="G457" s="3"/>
    </row>
    <row r="458" spans="1:7" ht="12.75">
      <c r="A458" s="3"/>
      <c r="B458" s="85"/>
      <c r="C458" s="8"/>
      <c r="D458" s="3"/>
      <c r="E458" s="3"/>
      <c r="F458" s="3"/>
      <c r="G458" s="3"/>
    </row>
    <row r="459" spans="1:7" ht="12.75">
      <c r="A459" s="3"/>
      <c r="B459" s="85"/>
      <c r="C459" s="8"/>
      <c r="D459" s="3"/>
      <c r="E459" s="3"/>
      <c r="F459" s="3"/>
      <c r="G459" s="3"/>
    </row>
    <row r="460" spans="1:7" ht="12.75">
      <c r="A460" s="3"/>
      <c r="B460" s="85"/>
      <c r="C460" s="8"/>
      <c r="D460" s="3"/>
      <c r="E460" s="3"/>
      <c r="F460" s="3"/>
      <c r="G460" s="3"/>
    </row>
    <row r="461" spans="1:7" ht="12.75">
      <c r="A461" s="3"/>
      <c r="B461" s="85"/>
      <c r="C461" s="8"/>
      <c r="D461" s="3"/>
      <c r="E461" s="3"/>
      <c r="F461" s="3"/>
      <c r="G461" s="3"/>
    </row>
    <row r="462" spans="1:7" ht="12.75">
      <c r="A462" s="3"/>
      <c r="B462" s="85"/>
      <c r="C462" s="8"/>
      <c r="D462" s="3"/>
      <c r="E462" s="3"/>
      <c r="F462" s="3"/>
      <c r="G462" s="3"/>
    </row>
    <row r="463" spans="1:7" ht="12.75">
      <c r="A463" s="3"/>
      <c r="B463" s="85"/>
      <c r="C463" s="8"/>
      <c r="D463" s="3"/>
      <c r="E463" s="3"/>
      <c r="F463" s="3"/>
      <c r="G463" s="3"/>
    </row>
    <row r="464" spans="1:7" ht="12.75">
      <c r="A464" s="3"/>
      <c r="B464" s="85"/>
      <c r="C464" s="8"/>
      <c r="D464" s="3"/>
      <c r="E464" s="3"/>
      <c r="F464" s="3"/>
      <c r="G464" s="3"/>
    </row>
    <row r="465" spans="1:7" ht="12.75">
      <c r="A465" s="3"/>
      <c r="B465" s="85"/>
      <c r="C465" s="8"/>
      <c r="D465" s="3"/>
      <c r="E465" s="3"/>
      <c r="F465" s="3"/>
      <c r="G465" s="3"/>
    </row>
    <row r="466" spans="1:7" ht="12.75">
      <c r="A466" s="3"/>
      <c r="B466" s="85"/>
      <c r="C466" s="8"/>
      <c r="D466" s="3"/>
      <c r="E466" s="3"/>
      <c r="F466" s="3"/>
      <c r="G466" s="3"/>
    </row>
    <row r="467" spans="1:7" ht="12.75">
      <c r="A467" s="3"/>
      <c r="B467" s="85"/>
      <c r="C467" s="8"/>
      <c r="D467" s="3"/>
      <c r="E467" s="3"/>
      <c r="F467" s="3"/>
      <c r="G467" s="3"/>
    </row>
    <row r="468" spans="1:7" ht="12.75">
      <c r="A468" s="3"/>
      <c r="B468" s="85"/>
      <c r="C468" s="8"/>
      <c r="D468" s="3"/>
      <c r="E468" s="3"/>
      <c r="F468" s="3"/>
      <c r="G468" s="3"/>
    </row>
    <row r="469" spans="1:7" ht="12.75">
      <c r="A469" s="3"/>
      <c r="B469" s="85"/>
      <c r="C469" s="8"/>
      <c r="D469" s="3"/>
      <c r="E469" s="3"/>
      <c r="F469" s="3"/>
      <c r="G469" s="3"/>
    </row>
    <row r="470" spans="1:7" ht="12.75">
      <c r="A470" s="3"/>
      <c r="B470" s="85"/>
      <c r="C470" s="8"/>
      <c r="D470" s="3"/>
      <c r="E470" s="3"/>
      <c r="F470" s="3"/>
      <c r="G470" s="3"/>
    </row>
    <row r="471" spans="1:7" ht="12.75">
      <c r="A471" s="3"/>
      <c r="B471" s="85"/>
      <c r="C471" s="8"/>
      <c r="D471" s="3"/>
      <c r="E471" s="3"/>
      <c r="F471" s="3"/>
      <c r="G471" s="3"/>
    </row>
    <row r="472" spans="1:7" ht="12.75">
      <c r="A472" s="3"/>
      <c r="B472" s="85"/>
      <c r="C472" s="8"/>
      <c r="D472" s="3"/>
      <c r="E472" s="3"/>
      <c r="F472" s="3"/>
      <c r="G472" s="3"/>
    </row>
    <row r="473" spans="1:7" ht="12.75">
      <c r="A473" s="3"/>
      <c r="B473" s="85"/>
      <c r="C473" s="8"/>
      <c r="D473" s="3"/>
      <c r="E473" s="3"/>
      <c r="F473" s="3"/>
      <c r="G473" s="3"/>
    </row>
    <row r="474" spans="1:7" ht="12.75">
      <c r="A474" s="3"/>
      <c r="B474" s="85"/>
      <c r="C474" s="8"/>
      <c r="D474" s="3"/>
      <c r="E474" s="3"/>
      <c r="F474" s="3"/>
      <c r="G474" s="3"/>
    </row>
    <row r="475" spans="1:7" ht="12.75">
      <c r="A475" s="3"/>
      <c r="B475" s="85"/>
      <c r="C475" s="8"/>
      <c r="D475" s="3"/>
      <c r="E475" s="3"/>
      <c r="F475" s="3"/>
      <c r="G475" s="3"/>
    </row>
    <row r="476" spans="1:7" ht="12.75">
      <c r="A476" s="3"/>
      <c r="B476" s="85"/>
      <c r="C476" s="8"/>
      <c r="D476" s="3"/>
      <c r="E476" s="3"/>
      <c r="F476" s="3"/>
      <c r="G476" s="3"/>
    </row>
    <row r="477" spans="1:7" ht="12.75">
      <c r="A477" s="3"/>
      <c r="B477" s="85"/>
      <c r="C477" s="8"/>
      <c r="D477" s="3"/>
      <c r="E477" s="3"/>
      <c r="F477" s="3"/>
      <c r="G477" s="3"/>
    </row>
    <row r="478" spans="1:7" ht="12.75">
      <c r="A478" s="3"/>
      <c r="B478" s="85"/>
      <c r="C478" s="8"/>
      <c r="D478" s="3"/>
      <c r="E478" s="3"/>
      <c r="F478" s="3"/>
      <c r="G478" s="3"/>
    </row>
    <row r="479" spans="1:7" ht="12.75">
      <c r="A479" s="3"/>
      <c r="B479" s="85"/>
      <c r="C479" s="8"/>
      <c r="D479" s="3"/>
      <c r="E479" s="3"/>
      <c r="F479" s="3"/>
      <c r="G479" s="3"/>
    </row>
    <row r="480" spans="1:7" ht="12.75">
      <c r="A480" s="3"/>
      <c r="B480" s="85"/>
      <c r="C480" s="8"/>
      <c r="D480" s="3"/>
      <c r="E480" s="3"/>
      <c r="F480" s="3"/>
      <c r="G480" s="3"/>
    </row>
    <row r="481" spans="1:7" ht="12.75">
      <c r="A481" s="3"/>
      <c r="B481" s="85"/>
      <c r="C481" s="8"/>
      <c r="D481" s="3"/>
      <c r="E481" s="3"/>
      <c r="F481" s="3"/>
      <c r="G481" s="3"/>
    </row>
    <row r="482" spans="1:7" ht="12.75">
      <c r="A482" s="3"/>
      <c r="B482" s="85"/>
      <c r="C482" s="8"/>
      <c r="D482" s="3"/>
      <c r="E482" s="3"/>
      <c r="F482" s="3"/>
      <c r="G482" s="3"/>
    </row>
    <row r="483" spans="1:7" ht="12.75">
      <c r="A483" s="3"/>
      <c r="B483" s="85"/>
      <c r="C483" s="8"/>
      <c r="D483" s="3"/>
      <c r="E483" s="3"/>
      <c r="F483" s="3"/>
      <c r="G483" s="3"/>
    </row>
    <row r="484" spans="1:7" ht="12.75">
      <c r="A484" s="3"/>
      <c r="B484" s="85"/>
      <c r="C484" s="8"/>
      <c r="D484" s="3"/>
      <c r="E484" s="3"/>
      <c r="F484" s="3"/>
      <c r="G484" s="3"/>
    </row>
    <row r="485" spans="1:7" ht="12.75">
      <c r="A485" s="3"/>
      <c r="B485" s="85"/>
      <c r="C485" s="8"/>
      <c r="D485" s="3"/>
      <c r="E485" s="3"/>
      <c r="F485" s="3"/>
      <c r="G485" s="3"/>
    </row>
    <row r="486" spans="1:7" ht="12.75">
      <c r="A486" s="3"/>
      <c r="B486" s="85"/>
      <c r="C486" s="8"/>
      <c r="D486" s="3"/>
      <c r="E486" s="3"/>
      <c r="F486" s="3"/>
      <c r="G486" s="3"/>
    </row>
    <row r="487" spans="1:7" ht="12.75">
      <c r="A487" s="3"/>
      <c r="B487" s="85"/>
      <c r="C487" s="8"/>
      <c r="D487" s="3"/>
      <c r="E487" s="3"/>
      <c r="F487" s="3"/>
      <c r="G487" s="3"/>
    </row>
    <row r="488" spans="1:7" ht="12.75">
      <c r="A488" s="3"/>
      <c r="B488" s="85"/>
      <c r="C488" s="8"/>
      <c r="D488" s="3"/>
      <c r="E488" s="3"/>
      <c r="F488" s="3"/>
      <c r="G488" s="3"/>
    </row>
    <row r="489" spans="1:7" ht="12.75">
      <c r="A489" s="3"/>
      <c r="B489" s="85"/>
      <c r="C489" s="8"/>
      <c r="D489" s="3"/>
      <c r="E489" s="3"/>
      <c r="F489" s="3"/>
      <c r="G489" s="3"/>
    </row>
    <row r="490" spans="1:7" ht="12.75">
      <c r="A490" s="3"/>
      <c r="B490" s="85"/>
      <c r="C490" s="8"/>
      <c r="D490" s="3"/>
      <c r="E490" s="3"/>
      <c r="F490" s="3"/>
      <c r="G490" s="3"/>
    </row>
    <row r="491" spans="1:7" ht="12.75">
      <c r="A491" s="3"/>
      <c r="B491" s="85"/>
      <c r="C491" s="8"/>
      <c r="D491" s="3"/>
      <c r="E491" s="3"/>
      <c r="F491" s="3"/>
      <c r="G491" s="3"/>
    </row>
    <row r="492" spans="1:7" ht="12.75">
      <c r="A492" s="3"/>
      <c r="B492" s="85"/>
      <c r="C492" s="8"/>
      <c r="D492" s="3"/>
      <c r="E492" s="3"/>
      <c r="F492" s="3"/>
      <c r="G492" s="3"/>
    </row>
    <row r="493" spans="1:7" ht="12.75">
      <c r="A493" s="3"/>
      <c r="B493" s="85"/>
      <c r="C493" s="8"/>
      <c r="D493" s="3"/>
      <c r="E493" s="3"/>
      <c r="F493" s="3"/>
      <c r="G493" s="3"/>
    </row>
    <row r="494" spans="1:7" ht="12.75">
      <c r="A494" s="3"/>
      <c r="B494" s="85"/>
      <c r="C494" s="8"/>
      <c r="D494" s="3"/>
      <c r="E494" s="3"/>
      <c r="F494" s="3"/>
      <c r="G494" s="3"/>
    </row>
    <row r="495" spans="1:7" ht="12.75">
      <c r="A495" s="3"/>
      <c r="B495" s="85"/>
      <c r="C495" s="8"/>
      <c r="D495" s="3"/>
      <c r="E495" s="3"/>
      <c r="F495" s="3"/>
      <c r="G495" s="3"/>
    </row>
    <row r="496" spans="1:7" ht="12.75">
      <c r="A496" s="3"/>
      <c r="B496" s="85"/>
      <c r="C496" s="8"/>
      <c r="D496" s="3"/>
      <c r="E496" s="3"/>
      <c r="F496" s="3"/>
      <c r="G496" s="3"/>
    </row>
    <row r="497" spans="1:7" ht="12.75">
      <c r="A497" s="3"/>
      <c r="B497" s="85"/>
      <c r="C497" s="8"/>
      <c r="D497" s="3"/>
      <c r="E497" s="3"/>
      <c r="F497" s="3"/>
      <c r="G497" s="3"/>
    </row>
    <row r="498" spans="1:7" ht="12.75">
      <c r="A498" s="3"/>
      <c r="B498" s="85"/>
      <c r="C498" s="8"/>
      <c r="D498" s="3"/>
      <c r="E498" s="3"/>
      <c r="F498" s="3"/>
      <c r="G498" s="3"/>
    </row>
    <row r="499" spans="1:7" ht="12.75">
      <c r="A499" s="3"/>
      <c r="B499" s="85"/>
      <c r="C499" s="8"/>
      <c r="D499" s="3"/>
      <c r="E499" s="3"/>
      <c r="F499" s="3"/>
      <c r="G499" s="3"/>
    </row>
    <row r="500" spans="1:7" ht="12.75">
      <c r="A500" s="3"/>
      <c r="B500" s="85"/>
      <c r="C500" s="8"/>
      <c r="D500" s="3"/>
      <c r="E500" s="3"/>
      <c r="F500" s="3"/>
      <c r="G500" s="3"/>
    </row>
    <row r="501" spans="1:7" ht="12.75">
      <c r="A501" s="3"/>
      <c r="B501" s="85"/>
      <c r="C501" s="8"/>
      <c r="D501" s="3"/>
      <c r="E501" s="3"/>
      <c r="F501" s="3"/>
      <c r="G501" s="3"/>
    </row>
    <row r="502" spans="1:7" ht="12.75">
      <c r="A502" s="3"/>
      <c r="B502" s="85"/>
      <c r="C502" s="8"/>
      <c r="D502" s="3"/>
      <c r="E502" s="3"/>
      <c r="F502" s="3"/>
      <c r="G502" s="3"/>
    </row>
    <row r="503" spans="1:7" ht="12.75">
      <c r="A503" s="3"/>
      <c r="B503" s="85"/>
      <c r="C503" s="8"/>
      <c r="D503" s="3"/>
      <c r="E503" s="3"/>
      <c r="F503" s="3"/>
      <c r="G503" s="3"/>
    </row>
    <row r="504" spans="1:7" ht="12.75">
      <c r="A504" s="3"/>
      <c r="B504" s="85"/>
      <c r="C504" s="8"/>
      <c r="D504" s="3"/>
      <c r="E504" s="3"/>
      <c r="F504" s="3"/>
      <c r="G504" s="3"/>
    </row>
    <row r="505" spans="1:7" ht="12.75">
      <c r="A505" s="3"/>
      <c r="B505" s="85"/>
      <c r="C505" s="8"/>
      <c r="D505" s="3"/>
      <c r="E505" s="3"/>
      <c r="F505" s="3"/>
      <c r="G505" s="3"/>
    </row>
    <row r="506" spans="1:7" ht="12.75">
      <c r="A506" s="3"/>
      <c r="B506" s="85"/>
      <c r="C506" s="8"/>
      <c r="D506" s="3"/>
      <c r="E506" s="3"/>
      <c r="F506" s="3"/>
      <c r="G506" s="3"/>
    </row>
    <row r="507" spans="1:7" ht="12.75">
      <c r="A507" s="3"/>
      <c r="B507" s="85"/>
      <c r="C507" s="8"/>
      <c r="D507" s="3"/>
      <c r="E507" s="3"/>
      <c r="F507" s="3"/>
      <c r="G507" s="3"/>
    </row>
    <row r="508" spans="1:7" ht="12.75">
      <c r="A508" s="3"/>
      <c r="B508" s="85"/>
      <c r="C508" s="8"/>
      <c r="D508" s="3"/>
      <c r="E508" s="3"/>
      <c r="F508" s="3"/>
      <c r="G508" s="3"/>
    </row>
    <row r="509" spans="1:7" ht="12.75">
      <c r="A509" s="3"/>
      <c r="B509" s="85"/>
      <c r="C509" s="8"/>
      <c r="D509" s="3"/>
      <c r="E509" s="3"/>
      <c r="F509" s="3"/>
      <c r="G509" s="3"/>
    </row>
    <row r="510" spans="1:7" ht="12.75">
      <c r="A510" s="3"/>
      <c r="B510" s="85"/>
      <c r="C510" s="8"/>
      <c r="D510" s="3"/>
      <c r="E510" s="3"/>
      <c r="F510" s="3"/>
      <c r="G510" s="3"/>
    </row>
    <row r="511" spans="1:7" ht="12.75">
      <c r="A511" s="3"/>
      <c r="B511" s="85"/>
      <c r="C511" s="8"/>
      <c r="D511" s="3"/>
      <c r="E511" s="3"/>
      <c r="F511" s="3"/>
      <c r="G511" s="3"/>
    </row>
    <row r="512" spans="1:7" ht="12.75">
      <c r="A512" s="3"/>
      <c r="B512" s="85"/>
      <c r="C512" s="8"/>
      <c r="D512" s="3"/>
      <c r="E512" s="3"/>
      <c r="F512" s="3"/>
      <c r="G512" s="3"/>
    </row>
    <row r="513" spans="1:7" ht="12.75">
      <c r="A513" s="3"/>
      <c r="B513" s="85"/>
      <c r="C513" s="8"/>
      <c r="D513" s="3"/>
      <c r="E513" s="3"/>
      <c r="F513" s="3"/>
      <c r="G513" s="3"/>
    </row>
    <row r="514" spans="1:7" ht="12.75">
      <c r="A514" s="3"/>
      <c r="B514" s="85"/>
      <c r="C514" s="8"/>
      <c r="D514" s="3"/>
      <c r="E514" s="3"/>
      <c r="F514" s="3"/>
      <c r="G514" s="3"/>
    </row>
    <row r="515" spans="1:7" ht="12.75">
      <c r="A515" s="3"/>
      <c r="B515" s="85"/>
      <c r="C515" s="8"/>
      <c r="D515" s="3"/>
      <c r="E515" s="3"/>
      <c r="F515" s="3"/>
      <c r="G515" s="3"/>
    </row>
    <row r="516" spans="1:7" ht="12.75">
      <c r="A516" s="3"/>
      <c r="B516" s="85"/>
      <c r="C516" s="8"/>
      <c r="D516" s="3"/>
      <c r="E516" s="3"/>
      <c r="F516" s="3"/>
      <c r="G516" s="3"/>
    </row>
    <row r="517" spans="1:7" ht="12.75">
      <c r="A517" s="3"/>
      <c r="B517" s="85"/>
      <c r="C517" s="8"/>
      <c r="D517" s="3"/>
      <c r="E517" s="3"/>
      <c r="F517" s="3"/>
      <c r="G517" s="3"/>
    </row>
    <row r="518" spans="1:7" ht="12.75">
      <c r="A518" s="3"/>
      <c r="B518" s="85"/>
      <c r="C518" s="8"/>
      <c r="D518" s="3"/>
      <c r="E518" s="3"/>
      <c r="F518" s="3"/>
      <c r="G518" s="3"/>
    </row>
    <row r="519" spans="1:7" ht="12.75">
      <c r="A519" s="3"/>
      <c r="B519" s="85"/>
      <c r="C519" s="8"/>
      <c r="D519" s="3"/>
      <c r="E519" s="3"/>
      <c r="F519" s="3"/>
      <c r="G519" s="3"/>
    </row>
    <row r="520" spans="1:7" ht="12.75">
      <c r="A520" s="3"/>
      <c r="B520" s="85"/>
      <c r="C520" s="8"/>
      <c r="D520" s="3"/>
      <c r="E520" s="3"/>
      <c r="F520" s="3"/>
      <c r="G520" s="3"/>
    </row>
    <row r="521" spans="1:7" ht="12.75">
      <c r="A521" s="3"/>
      <c r="B521" s="85"/>
      <c r="C521" s="8"/>
      <c r="D521" s="3"/>
      <c r="E521" s="3"/>
      <c r="F521" s="3"/>
      <c r="G521" s="3"/>
    </row>
    <row r="522" spans="1:7" ht="12.75">
      <c r="A522" s="3"/>
      <c r="B522" s="85"/>
      <c r="C522" s="8"/>
      <c r="D522" s="3"/>
      <c r="E522" s="3"/>
      <c r="F522" s="3"/>
      <c r="G522" s="3"/>
    </row>
    <row r="523" spans="1:7" ht="12.75">
      <c r="A523" s="3"/>
      <c r="B523" s="85"/>
      <c r="C523" s="8"/>
      <c r="D523" s="3"/>
      <c r="E523" s="3"/>
      <c r="F523" s="3"/>
      <c r="G523" s="3"/>
    </row>
    <row r="524" spans="1:7" ht="12.75">
      <c r="A524" s="3"/>
      <c r="B524" s="85"/>
      <c r="C524" s="8"/>
      <c r="D524" s="3"/>
      <c r="E524" s="3"/>
      <c r="F524" s="3"/>
      <c r="G524" s="3"/>
    </row>
    <row r="525" spans="1:7" ht="12.75">
      <c r="A525" s="3"/>
      <c r="B525" s="85"/>
      <c r="C525" s="8"/>
      <c r="D525" s="3"/>
      <c r="E525" s="3"/>
      <c r="F525" s="3"/>
      <c r="G525" s="3"/>
    </row>
    <row r="526" spans="1:7" ht="12.75">
      <c r="A526" s="3"/>
      <c r="B526" s="85"/>
      <c r="C526" s="8"/>
      <c r="D526" s="3"/>
      <c r="E526" s="3"/>
      <c r="F526" s="3"/>
      <c r="G526" s="3"/>
    </row>
    <row r="527" spans="1:7" ht="12.75">
      <c r="A527" s="3"/>
      <c r="B527" s="85"/>
      <c r="C527" s="8"/>
      <c r="D527" s="3"/>
      <c r="E527" s="3"/>
      <c r="F527" s="3"/>
      <c r="G527" s="3"/>
    </row>
    <row r="528" spans="1:7" ht="12.75">
      <c r="A528" s="3"/>
      <c r="B528" s="85"/>
      <c r="C528" s="8"/>
      <c r="D528" s="3"/>
      <c r="E528" s="3"/>
      <c r="F528" s="3"/>
      <c r="G528" s="3"/>
    </row>
    <row r="529" spans="1:7" ht="12.75">
      <c r="A529" s="3"/>
      <c r="B529" s="85"/>
      <c r="C529" s="8"/>
      <c r="D529" s="3"/>
      <c r="E529" s="3"/>
      <c r="F529" s="3"/>
      <c r="G529" s="3"/>
    </row>
    <row r="530" spans="1:7" ht="12.75">
      <c r="A530" s="3"/>
      <c r="B530" s="85"/>
      <c r="C530" s="8"/>
      <c r="D530" s="3"/>
      <c r="E530" s="3"/>
      <c r="F530" s="3"/>
      <c r="G530" s="3"/>
    </row>
    <row r="531" spans="1:7" ht="12.75">
      <c r="A531" s="3"/>
      <c r="B531" s="85"/>
      <c r="C531" s="8"/>
      <c r="D531" s="3"/>
      <c r="E531" s="3"/>
      <c r="F531" s="3"/>
      <c r="G531" s="3"/>
    </row>
    <row r="532" spans="1:7" ht="12.75">
      <c r="A532" s="3"/>
      <c r="B532" s="85"/>
      <c r="C532" s="8"/>
      <c r="D532" s="3"/>
      <c r="E532" s="3"/>
      <c r="F532" s="3"/>
      <c r="G532" s="3"/>
    </row>
    <row r="533" spans="1:7" ht="12.75">
      <c r="A533" s="3"/>
      <c r="B533" s="85"/>
      <c r="C533" s="8"/>
      <c r="D533" s="3"/>
      <c r="E533" s="3"/>
      <c r="F533" s="3"/>
      <c r="G533" s="3"/>
    </row>
    <row r="534" spans="1:7" ht="12.75">
      <c r="A534" s="3"/>
      <c r="B534" s="85"/>
      <c r="C534" s="8"/>
      <c r="D534" s="3"/>
      <c r="E534" s="3"/>
      <c r="F534" s="3"/>
      <c r="G534" s="3"/>
    </row>
    <row r="535" spans="1:7" ht="12.75">
      <c r="A535" s="3"/>
      <c r="B535" s="85"/>
      <c r="C535" s="8"/>
      <c r="D535" s="3"/>
      <c r="E535" s="3"/>
      <c r="F535" s="3"/>
      <c r="G535" s="3"/>
    </row>
    <row r="536" spans="1:7" ht="12.75">
      <c r="A536" s="3"/>
      <c r="B536" s="85"/>
      <c r="C536" s="8"/>
      <c r="D536" s="3"/>
      <c r="E536" s="3"/>
      <c r="F536" s="3"/>
      <c r="G536" s="3"/>
    </row>
    <row r="537" spans="1:7" ht="12.75">
      <c r="A537" s="3"/>
      <c r="B537" s="85"/>
      <c r="C537" s="8"/>
      <c r="D537" s="3"/>
      <c r="E537" s="3"/>
      <c r="F537" s="3"/>
      <c r="G537" s="3"/>
    </row>
    <row r="538" spans="1:7" ht="12.75">
      <c r="A538" s="3"/>
      <c r="B538" s="85"/>
      <c r="C538" s="8"/>
      <c r="D538" s="3"/>
      <c r="E538" s="3"/>
      <c r="F538" s="3"/>
      <c r="G538" s="3"/>
    </row>
    <row r="539" spans="1:7" ht="12.75">
      <c r="A539" s="3"/>
      <c r="B539" s="85"/>
      <c r="C539" s="8"/>
      <c r="D539" s="3"/>
      <c r="E539" s="3"/>
      <c r="F539" s="3"/>
      <c r="G539" s="3"/>
    </row>
    <row r="540" spans="1:7" ht="12.75">
      <c r="A540" s="3"/>
      <c r="B540" s="85"/>
      <c r="C540" s="8"/>
      <c r="D540" s="3"/>
      <c r="E540" s="3"/>
      <c r="F540" s="3"/>
      <c r="G540" s="3"/>
    </row>
    <row r="541" spans="1:7" ht="12.75">
      <c r="A541" s="3"/>
      <c r="B541" s="85"/>
      <c r="C541" s="8"/>
      <c r="D541" s="3"/>
      <c r="E541" s="3"/>
      <c r="F541" s="3"/>
      <c r="G541" s="3"/>
    </row>
    <row r="542" spans="1:7" ht="12.75">
      <c r="A542" s="3"/>
      <c r="B542" s="85"/>
      <c r="C542" s="8"/>
      <c r="D542" s="3"/>
      <c r="E542" s="3"/>
      <c r="F542" s="3"/>
      <c r="G542" s="3"/>
    </row>
    <row r="543" spans="1:7" ht="12.75">
      <c r="A543" s="3"/>
      <c r="B543" s="85"/>
      <c r="C543" s="8"/>
      <c r="D543" s="3"/>
      <c r="E543" s="3"/>
      <c r="F543" s="3"/>
      <c r="G543" s="3"/>
    </row>
    <row r="544" spans="1:7" ht="12.75">
      <c r="A544" s="3"/>
      <c r="B544" s="85"/>
      <c r="C544" s="8"/>
      <c r="D544" s="3"/>
      <c r="E544" s="3"/>
      <c r="F544" s="3"/>
      <c r="G544" s="3"/>
    </row>
    <row r="545" spans="1:7" ht="12.75">
      <c r="A545" s="3"/>
      <c r="B545" s="85"/>
      <c r="C545" s="8"/>
      <c r="D545" s="3"/>
      <c r="E545" s="3"/>
      <c r="F545" s="3"/>
      <c r="G545" s="3"/>
    </row>
    <row r="546" spans="1:7" ht="12.75">
      <c r="A546" s="3"/>
      <c r="B546" s="85"/>
      <c r="C546" s="8"/>
      <c r="D546" s="3"/>
      <c r="E546" s="3"/>
      <c r="F546" s="3"/>
      <c r="G546" s="3"/>
    </row>
    <row r="547" spans="1:7" ht="12.75">
      <c r="A547" s="3"/>
      <c r="B547" s="85"/>
      <c r="C547" s="8"/>
      <c r="D547" s="3"/>
      <c r="E547" s="3"/>
      <c r="F547" s="3"/>
      <c r="G547" s="3"/>
    </row>
    <row r="548" spans="1:7" ht="12.75">
      <c r="A548" s="3"/>
      <c r="B548" s="85"/>
      <c r="C548" s="8"/>
      <c r="D548" s="3"/>
      <c r="E548" s="3"/>
      <c r="F548" s="3"/>
      <c r="G548" s="3"/>
    </row>
    <row r="549" spans="1:7" ht="12.75">
      <c r="A549" s="3"/>
      <c r="B549" s="85"/>
      <c r="C549" s="8"/>
      <c r="D549" s="3"/>
      <c r="E549" s="3"/>
      <c r="F549" s="3"/>
      <c r="G549" s="3"/>
    </row>
    <row r="550" spans="1:7" ht="12.75">
      <c r="A550" s="3"/>
      <c r="B550" s="85"/>
      <c r="C550" s="8"/>
      <c r="D550" s="3"/>
      <c r="E550" s="3"/>
      <c r="F550" s="3"/>
      <c r="G550" s="3"/>
    </row>
    <row r="551" spans="1:7" ht="12.75">
      <c r="A551" s="3"/>
      <c r="B551" s="85"/>
      <c r="C551" s="8"/>
      <c r="D551" s="3"/>
      <c r="E551" s="3"/>
      <c r="F551" s="3"/>
      <c r="G551" s="3"/>
    </row>
    <row r="552" spans="1:7" ht="12.75">
      <c r="A552" s="3"/>
      <c r="B552" s="85"/>
      <c r="C552" s="8"/>
      <c r="D552" s="3"/>
      <c r="E552" s="3"/>
      <c r="F552" s="3"/>
      <c r="G552" s="3"/>
    </row>
    <row r="553" spans="1:7" ht="12.75">
      <c r="A553" s="3"/>
      <c r="B553" s="85"/>
      <c r="C553" s="8"/>
      <c r="D553" s="3"/>
      <c r="E553" s="3"/>
      <c r="F553" s="3"/>
      <c r="G553" s="3"/>
    </row>
    <row r="554" spans="1:7" ht="12.75">
      <c r="A554" s="3"/>
      <c r="B554" s="85"/>
      <c r="C554" s="8"/>
      <c r="D554" s="3"/>
      <c r="E554" s="3"/>
      <c r="F554" s="3"/>
      <c r="G554" s="3"/>
    </row>
    <row r="555" spans="1:7" ht="12.75">
      <c r="A555" s="3"/>
      <c r="B555" s="85"/>
      <c r="C555" s="8"/>
      <c r="D555" s="3"/>
      <c r="E555" s="3"/>
      <c r="F555" s="3"/>
      <c r="G555" s="3"/>
    </row>
    <row r="556" spans="1:7" ht="12.75">
      <c r="A556" s="3"/>
      <c r="B556" s="85"/>
      <c r="C556" s="8"/>
      <c r="D556" s="3"/>
      <c r="E556" s="3"/>
      <c r="F556" s="3"/>
      <c r="G556" s="3"/>
    </row>
    <row r="557" spans="1:7" ht="12.75">
      <c r="A557" s="3"/>
      <c r="B557" s="85"/>
      <c r="C557" s="8"/>
      <c r="D557" s="3"/>
      <c r="E557" s="3"/>
      <c r="F557" s="3"/>
      <c r="G557" s="3"/>
    </row>
    <row r="558" spans="1:7" ht="12.75">
      <c r="A558" s="3"/>
      <c r="B558" s="85"/>
      <c r="C558" s="8"/>
      <c r="D558" s="3"/>
      <c r="E558" s="3"/>
      <c r="F558" s="3"/>
      <c r="G558" s="3"/>
    </row>
    <row r="559" spans="1:7" ht="12.75">
      <c r="A559" s="3"/>
      <c r="B559" s="85"/>
      <c r="C559" s="8"/>
      <c r="D559" s="3"/>
      <c r="E559" s="3"/>
      <c r="F559" s="3"/>
      <c r="G559" s="3"/>
    </row>
    <row r="560" spans="1:7" ht="12.75">
      <c r="A560" s="3"/>
      <c r="B560" s="85"/>
      <c r="C560" s="8"/>
      <c r="D560" s="3"/>
      <c r="E560" s="3"/>
      <c r="F560" s="3"/>
      <c r="G560" s="3"/>
    </row>
    <row r="561" spans="1:7" ht="12.75">
      <c r="A561" s="3"/>
      <c r="B561" s="85"/>
      <c r="C561" s="8"/>
      <c r="D561" s="3"/>
      <c r="E561" s="3"/>
      <c r="F561" s="3"/>
      <c r="G561" s="3"/>
    </row>
    <row r="562" spans="1:7" ht="12.75">
      <c r="A562" s="3"/>
      <c r="B562" s="85"/>
      <c r="C562" s="8"/>
      <c r="D562" s="3"/>
      <c r="E562" s="3"/>
      <c r="F562" s="3"/>
      <c r="G562" s="3"/>
    </row>
    <row r="563" spans="1:7" ht="12.75">
      <c r="A563" s="3"/>
      <c r="B563" s="85"/>
      <c r="C563" s="8"/>
      <c r="D563" s="3"/>
      <c r="E563" s="3"/>
      <c r="F563" s="3"/>
      <c r="G563" s="3"/>
    </row>
    <row r="564" spans="1:7" ht="12.75">
      <c r="A564" s="3"/>
      <c r="B564" s="85"/>
      <c r="C564" s="8"/>
      <c r="D564" s="3"/>
      <c r="E564" s="3"/>
      <c r="F564" s="3"/>
      <c r="G564" s="3"/>
    </row>
    <row r="565" spans="1:7" ht="12.75">
      <c r="A565" s="3"/>
      <c r="B565" s="85"/>
      <c r="C565" s="8"/>
      <c r="D565" s="3"/>
      <c r="E565" s="3"/>
      <c r="F565" s="3"/>
      <c r="G565" s="3"/>
    </row>
    <row r="566" spans="1:7" ht="12.75">
      <c r="A566" s="3"/>
      <c r="B566" s="85"/>
      <c r="C566" s="8"/>
      <c r="D566" s="3"/>
      <c r="E566" s="3"/>
      <c r="F566" s="3"/>
      <c r="G566" s="3"/>
    </row>
    <row r="567" spans="1:7" ht="12.75">
      <c r="A567" s="3"/>
      <c r="B567" s="85"/>
      <c r="C567" s="8"/>
      <c r="D567" s="3"/>
      <c r="E567" s="3"/>
      <c r="F567" s="3"/>
      <c r="G567" s="3"/>
    </row>
    <row r="568" spans="1:7" ht="12.75">
      <c r="A568" s="3"/>
      <c r="B568" s="85"/>
      <c r="C568" s="8"/>
      <c r="D568" s="3"/>
      <c r="E568" s="3"/>
      <c r="F568" s="3"/>
      <c r="G568" s="3"/>
    </row>
    <row r="569" spans="1:7" ht="12.75">
      <c r="A569" s="3"/>
      <c r="B569" s="85"/>
      <c r="C569" s="8"/>
      <c r="D569" s="3"/>
      <c r="E569" s="3"/>
      <c r="F569" s="3"/>
      <c r="G569" s="3"/>
    </row>
    <row r="570" spans="1:7" ht="12.75">
      <c r="A570" s="3"/>
      <c r="B570" s="85"/>
      <c r="C570" s="8"/>
      <c r="D570" s="3"/>
      <c r="E570" s="3"/>
      <c r="F570" s="3"/>
      <c r="G570" s="3"/>
    </row>
    <row r="571" spans="1:7" ht="12.75">
      <c r="A571" s="3"/>
      <c r="B571" s="85"/>
      <c r="C571" s="8"/>
      <c r="D571" s="3"/>
      <c r="E571" s="3"/>
      <c r="F571" s="3"/>
      <c r="G571" s="3"/>
    </row>
    <row r="572" spans="1:7" ht="12.75">
      <c r="A572" s="3"/>
      <c r="B572" s="85"/>
      <c r="C572" s="8"/>
      <c r="D572" s="3"/>
      <c r="E572" s="3"/>
      <c r="F572" s="3"/>
      <c r="G572" s="3"/>
    </row>
    <row r="573" spans="1:7" ht="12.75">
      <c r="A573" s="3"/>
      <c r="B573" s="85"/>
      <c r="C573" s="8"/>
      <c r="D573" s="3"/>
      <c r="E573" s="3"/>
      <c r="F573" s="3"/>
      <c r="G573" s="3"/>
    </row>
    <row r="574" spans="1:7" ht="12.75">
      <c r="A574" s="3"/>
      <c r="B574" s="85"/>
      <c r="C574" s="8"/>
      <c r="D574" s="3"/>
      <c r="E574" s="3"/>
      <c r="F574" s="3"/>
      <c r="G574" s="3"/>
    </row>
    <row r="575" spans="1:7" ht="12.75">
      <c r="A575" s="3"/>
      <c r="B575" s="85"/>
      <c r="C575" s="8"/>
      <c r="D575" s="3"/>
      <c r="E575" s="3"/>
      <c r="F575" s="3"/>
      <c r="G575" s="3"/>
    </row>
    <row r="576" spans="1:7" ht="12.75">
      <c r="A576" s="3"/>
      <c r="B576" s="85"/>
      <c r="C576" s="8"/>
      <c r="D576" s="3"/>
      <c r="E576" s="3"/>
      <c r="F576" s="3"/>
      <c r="G576" s="3"/>
    </row>
    <row r="577" spans="1:7" ht="12.75">
      <c r="A577" s="3"/>
      <c r="B577" s="85"/>
      <c r="C577" s="8"/>
      <c r="D577" s="3"/>
      <c r="E577" s="3"/>
      <c r="F577" s="3"/>
      <c r="G577" s="3"/>
    </row>
    <row r="578" spans="1:7" ht="12.75">
      <c r="A578" s="3"/>
      <c r="B578" s="85"/>
      <c r="C578" s="8"/>
      <c r="D578" s="3"/>
      <c r="E578" s="3"/>
      <c r="F578" s="3"/>
      <c r="G578" s="3"/>
    </row>
    <row r="579" spans="1:7" ht="12.75">
      <c r="A579" s="3"/>
      <c r="B579" s="85"/>
      <c r="C579" s="8"/>
      <c r="D579" s="3"/>
      <c r="E579" s="3"/>
      <c r="F579" s="3"/>
      <c r="G579" s="3"/>
    </row>
    <row r="580" spans="1:7" ht="12.75">
      <c r="A580" s="3"/>
      <c r="B580" s="85"/>
      <c r="C580" s="8"/>
      <c r="D580" s="3"/>
      <c r="E580" s="3"/>
      <c r="F580" s="3"/>
      <c r="G580" s="3"/>
    </row>
    <row r="581" spans="1:7" ht="12.75">
      <c r="A581" s="3"/>
      <c r="B581" s="85"/>
      <c r="C581" s="8"/>
      <c r="D581" s="3"/>
      <c r="E581" s="3"/>
      <c r="F581" s="3"/>
      <c r="G581" s="3"/>
    </row>
    <row r="582" spans="1:7" ht="12.75">
      <c r="A582" s="3"/>
      <c r="B582" s="85"/>
      <c r="C582" s="8"/>
      <c r="D582" s="3"/>
      <c r="E582" s="3"/>
      <c r="F582" s="3"/>
      <c r="G582" s="3"/>
    </row>
    <row r="583" spans="1:7" ht="12.75">
      <c r="A583" s="3"/>
      <c r="B583" s="85"/>
      <c r="C583" s="8"/>
      <c r="D583" s="3"/>
      <c r="E583" s="3"/>
      <c r="F583" s="3"/>
      <c r="G583" s="3"/>
    </row>
    <row r="584" spans="1:7" ht="12.75">
      <c r="A584" s="3"/>
      <c r="B584" s="85"/>
      <c r="C584" s="8"/>
      <c r="D584" s="3"/>
      <c r="E584" s="3"/>
      <c r="F584" s="3"/>
      <c r="G584" s="3"/>
    </row>
    <row r="585" spans="1:7" ht="12.75">
      <c r="A585" s="3"/>
      <c r="B585" s="85"/>
      <c r="C585" s="8"/>
      <c r="D585" s="3"/>
      <c r="E585" s="3"/>
      <c r="F585" s="3"/>
      <c r="G585" s="3"/>
    </row>
    <row r="586" spans="1:7" ht="12.75">
      <c r="A586" s="3"/>
      <c r="B586" s="85"/>
      <c r="C586" s="8"/>
      <c r="D586" s="3"/>
      <c r="E586" s="3"/>
      <c r="F586" s="3"/>
      <c r="G586" s="3"/>
    </row>
    <row r="587" spans="1:7" ht="12.75">
      <c r="A587" s="3"/>
      <c r="B587" s="85"/>
      <c r="C587" s="8"/>
      <c r="D587" s="3"/>
      <c r="E587" s="3"/>
      <c r="F587" s="3"/>
      <c r="G587" s="3"/>
    </row>
    <row r="588" spans="1:7" ht="12.75">
      <c r="A588" s="3"/>
      <c r="B588" s="85"/>
      <c r="C588" s="8"/>
      <c r="D588" s="3"/>
      <c r="E588" s="3"/>
      <c r="F588" s="3"/>
      <c r="G588" s="3"/>
    </row>
    <row r="589" spans="1:7" ht="12.75">
      <c r="A589" s="3"/>
      <c r="B589" s="85"/>
      <c r="C589" s="8"/>
      <c r="D589" s="3"/>
      <c r="E589" s="3"/>
      <c r="F589" s="3"/>
      <c r="G589" s="3"/>
    </row>
    <row r="590" spans="1:7" ht="12.75">
      <c r="A590" s="3"/>
      <c r="B590" s="85"/>
      <c r="C590" s="8"/>
      <c r="D590" s="3"/>
      <c r="E590" s="3"/>
      <c r="F590" s="3"/>
      <c r="G590" s="3"/>
    </row>
    <row r="591" spans="1:7" ht="12.75">
      <c r="A591" s="3"/>
      <c r="B591" s="85"/>
      <c r="C591" s="8"/>
      <c r="D591" s="3"/>
      <c r="E591" s="3"/>
      <c r="F591" s="3"/>
      <c r="G591" s="3"/>
    </row>
    <row r="592" spans="1:7" ht="12.75">
      <c r="A592" s="3"/>
      <c r="B592" s="85"/>
      <c r="C592" s="8"/>
      <c r="D592" s="3"/>
      <c r="E592" s="3"/>
      <c r="F592" s="3"/>
      <c r="G592" s="3"/>
    </row>
    <row r="593" spans="1:7" ht="12.75">
      <c r="A593" s="3"/>
      <c r="B593" s="85"/>
      <c r="C593" s="8"/>
      <c r="D593" s="3"/>
      <c r="E593" s="3"/>
      <c r="F593" s="3"/>
      <c r="G593" s="3"/>
    </row>
    <row r="594" spans="1:7" ht="12.75">
      <c r="A594" s="3"/>
      <c r="B594" s="85"/>
      <c r="C594" s="8"/>
      <c r="D594" s="3"/>
      <c r="E594" s="3"/>
      <c r="F594" s="3"/>
      <c r="G594" s="3"/>
    </row>
    <row r="595" spans="1:7" ht="12.75">
      <c r="A595" s="3"/>
      <c r="B595" s="85"/>
      <c r="C595" s="8"/>
      <c r="D595" s="3"/>
      <c r="E595" s="3"/>
      <c r="F595" s="3"/>
      <c r="G595" s="3"/>
    </row>
    <row r="596" spans="1:7" ht="12.75">
      <c r="A596" s="3"/>
      <c r="B596" s="85"/>
      <c r="C596" s="8"/>
      <c r="D596" s="3"/>
      <c r="E596" s="3"/>
      <c r="F596" s="3"/>
      <c r="G596" s="3"/>
    </row>
    <row r="597" spans="1:7" ht="12.75">
      <c r="A597" s="3"/>
      <c r="B597" s="85"/>
      <c r="C597" s="8"/>
      <c r="D597" s="3"/>
      <c r="E597" s="3"/>
      <c r="F597" s="3"/>
      <c r="G597" s="3"/>
    </row>
    <row r="598" spans="1:7" ht="12.75">
      <c r="A598" s="3"/>
      <c r="B598" s="85"/>
      <c r="C598" s="8"/>
      <c r="D598" s="3"/>
      <c r="E598" s="3"/>
      <c r="F598" s="3"/>
      <c r="G598" s="3"/>
    </row>
    <row r="599" spans="1:7" ht="12.75">
      <c r="A599" s="3"/>
      <c r="B599" s="85"/>
      <c r="C599" s="8"/>
      <c r="D599" s="3"/>
      <c r="E599" s="3"/>
      <c r="F599" s="3"/>
      <c r="G599" s="3"/>
    </row>
    <row r="600" spans="1:7" ht="12.75">
      <c r="A600" s="3"/>
      <c r="B600" s="85"/>
      <c r="C600" s="8"/>
      <c r="D600" s="3"/>
      <c r="E600" s="3"/>
      <c r="F600" s="3"/>
      <c r="G600" s="3"/>
    </row>
    <row r="601" spans="1:7" ht="12.75">
      <c r="A601" s="3"/>
      <c r="B601" s="85"/>
      <c r="C601" s="8"/>
      <c r="D601" s="3"/>
      <c r="E601" s="3"/>
      <c r="F601" s="3"/>
      <c r="G601" s="3"/>
    </row>
    <row r="602" spans="1:7" ht="12.75">
      <c r="A602" s="3"/>
      <c r="B602" s="85"/>
      <c r="C602" s="8"/>
      <c r="D602" s="3"/>
      <c r="E602" s="3"/>
      <c r="F602" s="3"/>
      <c r="G602" s="3"/>
    </row>
    <row r="603" spans="1:7" ht="12.75">
      <c r="A603" s="3"/>
      <c r="B603" s="85"/>
      <c r="C603" s="8"/>
      <c r="D603" s="3"/>
      <c r="E603" s="3"/>
      <c r="F603" s="3"/>
      <c r="G603" s="3"/>
    </row>
    <row r="604" spans="1:7" ht="12.75">
      <c r="A604" s="3"/>
      <c r="B604" s="85"/>
      <c r="C604" s="8"/>
      <c r="D604" s="3"/>
      <c r="E604" s="3"/>
      <c r="F604" s="3"/>
      <c r="G604" s="3"/>
    </row>
    <row r="605" spans="1:7" ht="12.75">
      <c r="A605" s="3"/>
      <c r="B605" s="85"/>
      <c r="C605" s="8"/>
      <c r="D605" s="3"/>
      <c r="E605" s="3"/>
      <c r="F605" s="3"/>
      <c r="G605" s="3"/>
    </row>
    <row r="606" spans="1:7" ht="12.75">
      <c r="A606" s="3"/>
      <c r="B606" s="85"/>
      <c r="C606" s="8"/>
      <c r="D606" s="3"/>
      <c r="E606" s="3"/>
      <c r="F606" s="3"/>
      <c r="G606" s="3"/>
    </row>
    <row r="607" spans="1:7" ht="12.75">
      <c r="A607" s="3"/>
      <c r="B607" s="85"/>
      <c r="C607" s="8"/>
      <c r="D607" s="3"/>
      <c r="E607" s="3"/>
      <c r="F607" s="3"/>
      <c r="G607" s="3"/>
    </row>
    <row r="608" spans="1:7" ht="12.75">
      <c r="A608" s="3"/>
      <c r="B608" s="85"/>
      <c r="C608" s="8"/>
      <c r="D608" s="3"/>
      <c r="E608" s="3"/>
      <c r="F608" s="3"/>
      <c r="G608" s="3"/>
    </row>
    <row r="609" spans="1:7" ht="12.75">
      <c r="A609" s="3"/>
      <c r="B609" s="85"/>
      <c r="C609" s="8"/>
      <c r="D609" s="3"/>
      <c r="E609" s="3"/>
      <c r="F609" s="3"/>
      <c r="G609" s="3"/>
    </row>
    <row r="610" spans="1:7" ht="12.75">
      <c r="A610" s="3"/>
      <c r="B610" s="85"/>
      <c r="C610" s="8"/>
      <c r="D610" s="3"/>
      <c r="E610" s="3"/>
      <c r="F610" s="3"/>
      <c r="G610" s="3"/>
    </row>
    <row r="611" spans="1:7" ht="12.75">
      <c r="A611" s="3"/>
      <c r="B611" s="85"/>
      <c r="C611" s="8"/>
      <c r="D611" s="3"/>
      <c r="E611" s="3"/>
      <c r="F611" s="3"/>
      <c r="G611" s="3"/>
    </row>
    <row r="612" spans="1:7" ht="12.75">
      <c r="A612" s="3"/>
      <c r="B612" s="85"/>
      <c r="C612" s="8"/>
      <c r="D612" s="3"/>
      <c r="E612" s="3"/>
      <c r="F612" s="3"/>
      <c r="G612" s="3"/>
    </row>
    <row r="613" spans="1:7" ht="12.75">
      <c r="A613" s="3"/>
      <c r="B613" s="85"/>
      <c r="C613" s="8"/>
      <c r="D613" s="3"/>
      <c r="E613" s="3"/>
      <c r="F613" s="3"/>
      <c r="G613" s="3"/>
    </row>
    <row r="614" spans="1:7" ht="12.75">
      <c r="A614" s="3"/>
      <c r="B614" s="85"/>
      <c r="C614" s="8"/>
      <c r="D614" s="3"/>
      <c r="E614" s="3"/>
      <c r="F614" s="3"/>
      <c r="G614" s="3"/>
    </row>
    <row r="615" spans="1:7" ht="12.75">
      <c r="A615" s="3"/>
      <c r="B615" s="85"/>
      <c r="C615" s="8"/>
      <c r="D615" s="3"/>
      <c r="E615" s="3"/>
      <c r="F615" s="3"/>
      <c r="G615" s="3"/>
    </row>
    <row r="616" spans="1:7" ht="12.75">
      <c r="A616" s="3"/>
      <c r="B616" s="85"/>
      <c r="C616" s="8"/>
      <c r="D616" s="3"/>
      <c r="E616" s="3"/>
      <c r="F616" s="3"/>
      <c r="G616" s="3"/>
    </row>
    <row r="617" spans="1:7" ht="12.75">
      <c r="A617" s="3"/>
      <c r="B617" s="85"/>
      <c r="C617" s="8"/>
      <c r="D617" s="3"/>
      <c r="E617" s="3"/>
      <c r="F617" s="3"/>
      <c r="G617" s="3"/>
    </row>
    <row r="618" spans="1:7" ht="12.75">
      <c r="A618" s="3"/>
      <c r="B618" s="85"/>
      <c r="C618" s="8"/>
      <c r="D618" s="3"/>
      <c r="E618" s="3"/>
      <c r="F618" s="3"/>
      <c r="G618" s="3"/>
    </row>
    <row r="619" spans="1:7" ht="12.75">
      <c r="A619" s="3"/>
      <c r="B619" s="85"/>
      <c r="C619" s="8"/>
      <c r="D619" s="3"/>
      <c r="E619" s="3"/>
      <c r="F619" s="3"/>
      <c r="G619" s="3"/>
    </row>
    <row r="620" spans="1:7" ht="12.75">
      <c r="A620" s="3"/>
      <c r="B620" s="85"/>
      <c r="C620" s="8"/>
      <c r="D620" s="3"/>
      <c r="E620" s="3"/>
      <c r="F620" s="3"/>
      <c r="G620" s="3"/>
    </row>
    <row r="621" spans="1:7" ht="12.75">
      <c r="A621" s="3"/>
      <c r="B621" s="85"/>
      <c r="C621" s="8"/>
      <c r="D621" s="3"/>
      <c r="E621" s="3"/>
      <c r="F621" s="3"/>
      <c r="G621" s="3"/>
    </row>
    <row r="622" spans="1:7" ht="12.75">
      <c r="A622" s="3"/>
      <c r="B622" s="85"/>
      <c r="C622" s="8"/>
      <c r="D622" s="3"/>
      <c r="E622" s="3"/>
      <c r="F622" s="3"/>
      <c r="G622" s="3"/>
    </row>
    <row r="623" spans="1:7" ht="12.75">
      <c r="A623" s="3"/>
      <c r="B623" s="85"/>
      <c r="C623" s="8"/>
      <c r="D623" s="3"/>
      <c r="E623" s="3"/>
      <c r="F623" s="3"/>
      <c r="G623" s="3"/>
    </row>
    <row r="624" spans="1:7" ht="12.75">
      <c r="A624" s="3"/>
      <c r="B624" s="85"/>
      <c r="C624" s="8"/>
      <c r="D624" s="3"/>
      <c r="E624" s="3"/>
      <c r="F624" s="3"/>
      <c r="G624" s="3"/>
    </row>
    <row r="625" spans="1:7" ht="12.75">
      <c r="A625" s="3"/>
      <c r="B625" s="85"/>
      <c r="C625" s="8"/>
      <c r="D625" s="3"/>
      <c r="E625" s="3"/>
      <c r="F625" s="3"/>
      <c r="G625" s="3"/>
    </row>
    <row r="626" spans="1:7" ht="12.75">
      <c r="A626" s="3"/>
      <c r="B626" s="85"/>
      <c r="C626" s="8"/>
      <c r="D626" s="3"/>
      <c r="E626" s="3"/>
      <c r="F626" s="3"/>
      <c r="G626" s="3"/>
    </row>
    <row r="627" spans="1:7" ht="12.75">
      <c r="A627" s="3"/>
      <c r="B627" s="85"/>
      <c r="C627" s="8"/>
      <c r="D627" s="3"/>
      <c r="E627" s="3"/>
      <c r="F627" s="3"/>
      <c r="G627" s="3"/>
    </row>
    <row r="628" spans="1:7" ht="12.75">
      <c r="A628" s="3"/>
      <c r="B628" s="85"/>
      <c r="C628" s="8"/>
      <c r="D628" s="3"/>
      <c r="E628" s="3"/>
      <c r="F628" s="3"/>
      <c r="G628" s="3"/>
    </row>
    <row r="629" spans="1:7" ht="12.75">
      <c r="A629" s="3"/>
      <c r="B629" s="85"/>
      <c r="C629" s="8"/>
      <c r="D629" s="3"/>
      <c r="E629" s="3"/>
      <c r="F629" s="3"/>
      <c r="G629" s="3"/>
    </row>
    <row r="630" spans="1:7" ht="12.75">
      <c r="A630" s="3"/>
      <c r="B630" s="85"/>
      <c r="C630" s="8"/>
      <c r="D630" s="3"/>
      <c r="E630" s="3"/>
      <c r="F630" s="3"/>
      <c r="G630" s="3"/>
    </row>
    <row r="631" spans="1:7" ht="12.75">
      <c r="A631" s="3"/>
      <c r="B631" s="85"/>
      <c r="C631" s="8"/>
      <c r="D631" s="3"/>
      <c r="E631" s="3"/>
      <c r="F631" s="3"/>
      <c r="G631" s="3"/>
    </row>
    <row r="632" spans="1:7" ht="12.75">
      <c r="A632" s="3"/>
      <c r="B632" s="85"/>
      <c r="C632" s="8"/>
      <c r="D632" s="3"/>
      <c r="E632" s="3"/>
      <c r="F632" s="3"/>
      <c r="G632" s="3"/>
    </row>
    <row r="633" spans="1:7" ht="12.75">
      <c r="A633" s="3"/>
      <c r="B633" s="85"/>
      <c r="C633" s="8"/>
      <c r="D633" s="3"/>
      <c r="E633" s="3"/>
      <c r="F633" s="3"/>
      <c r="G633" s="3"/>
    </row>
    <row r="634" spans="1:7" ht="12.75">
      <c r="A634" s="3"/>
      <c r="B634" s="85"/>
      <c r="C634" s="8"/>
      <c r="D634" s="3"/>
      <c r="E634" s="3"/>
      <c r="F634" s="3"/>
      <c r="G634" s="3"/>
    </row>
    <row r="635" spans="1:7" ht="12.75">
      <c r="A635" s="3"/>
      <c r="B635" s="85"/>
      <c r="C635" s="8"/>
      <c r="D635" s="3"/>
      <c r="E635" s="3"/>
      <c r="F635" s="3"/>
      <c r="G635" s="3"/>
    </row>
    <row r="636" spans="1:7" ht="12.75">
      <c r="A636" s="3"/>
      <c r="B636" s="85"/>
      <c r="C636" s="8"/>
      <c r="D636" s="3"/>
      <c r="E636" s="3"/>
      <c r="F636" s="3"/>
      <c r="G636" s="3"/>
    </row>
    <row r="637" spans="1:7" ht="12.75">
      <c r="A637" s="3"/>
      <c r="B637" s="85"/>
      <c r="C637" s="8"/>
      <c r="D637" s="3"/>
      <c r="E637" s="3"/>
      <c r="F637" s="3"/>
      <c r="G637" s="3"/>
    </row>
    <row r="638" spans="1:7" ht="12.75">
      <c r="A638" s="3"/>
      <c r="B638" s="85"/>
      <c r="C638" s="8"/>
      <c r="D638" s="3"/>
      <c r="E638" s="3"/>
      <c r="F638" s="3"/>
      <c r="G638" s="3"/>
    </row>
    <row r="639" spans="1:7" ht="12.75">
      <c r="A639" s="3"/>
      <c r="B639" s="85"/>
      <c r="C639" s="8"/>
      <c r="D639" s="3"/>
      <c r="E639" s="3"/>
      <c r="F639" s="3"/>
      <c r="G639" s="3"/>
    </row>
    <row r="640" spans="1:7" ht="12.75">
      <c r="A640" s="3"/>
      <c r="B640" s="85"/>
      <c r="C640" s="8"/>
      <c r="D640" s="3"/>
      <c r="E640" s="3"/>
      <c r="F640" s="3"/>
      <c r="G640" s="3"/>
    </row>
    <row r="641" spans="1:7" ht="12.75">
      <c r="A641" s="3"/>
      <c r="B641" s="85"/>
      <c r="C641" s="8"/>
      <c r="D641" s="3"/>
      <c r="E641" s="3"/>
      <c r="F641" s="3"/>
      <c r="G641" s="3"/>
    </row>
    <row r="642" spans="1:7" ht="12.75">
      <c r="A642" s="3"/>
      <c r="B642" s="85"/>
      <c r="C642" s="8"/>
      <c r="D642" s="3"/>
      <c r="E642" s="3"/>
      <c r="F642" s="3"/>
      <c r="G642" s="3"/>
    </row>
    <row r="643" spans="1:7" ht="12.75">
      <c r="A643" s="3"/>
      <c r="B643" s="85"/>
      <c r="C643" s="8"/>
      <c r="D643" s="3"/>
      <c r="E643" s="3"/>
      <c r="F643" s="3"/>
      <c r="G643" s="3"/>
    </row>
    <row r="644" spans="1:7" ht="12.75">
      <c r="A644" s="3"/>
      <c r="B644" s="85"/>
      <c r="C644" s="8"/>
      <c r="D644" s="3"/>
      <c r="E644" s="3"/>
      <c r="F644" s="3"/>
      <c r="G644" s="3"/>
    </row>
    <row r="645" spans="1:7" ht="12.75">
      <c r="A645" s="3"/>
      <c r="B645" s="85"/>
      <c r="C645" s="8"/>
      <c r="D645" s="3"/>
      <c r="E645" s="3"/>
      <c r="F645" s="3"/>
      <c r="G645" s="3"/>
    </row>
    <row r="646" spans="1:7" ht="12.75">
      <c r="A646" s="3"/>
      <c r="B646" s="85"/>
      <c r="C646" s="8"/>
      <c r="D646" s="3"/>
      <c r="E646" s="3"/>
      <c r="F646" s="3"/>
      <c r="G646" s="3"/>
    </row>
    <row r="647" spans="1:7" ht="12.75">
      <c r="A647" s="3"/>
      <c r="B647" s="85"/>
      <c r="C647" s="8"/>
      <c r="D647" s="3"/>
      <c r="E647" s="3"/>
      <c r="F647" s="3"/>
      <c r="G647" s="3"/>
    </row>
    <row r="648" spans="1:7" ht="12.75">
      <c r="A648" s="3"/>
      <c r="B648" s="85"/>
      <c r="C648" s="8"/>
      <c r="D648" s="3"/>
      <c r="E648" s="3"/>
      <c r="F648" s="3"/>
      <c r="G648" s="3"/>
    </row>
    <row r="649" spans="1:7" ht="12.75">
      <c r="A649" s="3"/>
      <c r="B649" s="85"/>
      <c r="C649" s="8"/>
      <c r="D649" s="3"/>
      <c r="E649" s="3"/>
      <c r="F649" s="3"/>
      <c r="G649" s="3"/>
    </row>
    <row r="650" spans="1:7" ht="12.75">
      <c r="A650" s="3"/>
      <c r="B650" s="85"/>
      <c r="C650" s="8"/>
      <c r="D650" s="3"/>
      <c r="E650" s="3"/>
      <c r="F650" s="3"/>
      <c r="G650" s="3"/>
    </row>
    <row r="651" spans="1:7" ht="12.75">
      <c r="A651" s="3"/>
      <c r="B651" s="85"/>
      <c r="C651" s="8"/>
      <c r="D651" s="3"/>
      <c r="E651" s="3"/>
      <c r="F651" s="3"/>
      <c r="G651" s="3"/>
    </row>
    <row r="652" spans="1:7" ht="12.75">
      <c r="A652" s="3"/>
      <c r="B652" s="85"/>
      <c r="C652" s="8"/>
      <c r="D652" s="3"/>
      <c r="E652" s="3"/>
      <c r="F652" s="3"/>
      <c r="G652" s="3"/>
    </row>
    <row r="653" spans="1:7" ht="12.75">
      <c r="A653" s="3"/>
      <c r="B653" s="85"/>
      <c r="C653" s="8"/>
      <c r="D653" s="3"/>
      <c r="E653" s="3"/>
      <c r="F653" s="3"/>
      <c r="G653" s="3"/>
    </row>
    <row r="654" spans="1:7" ht="12.75">
      <c r="A654" s="3"/>
      <c r="B654" s="85"/>
      <c r="C654" s="8"/>
      <c r="D654" s="3"/>
      <c r="E654" s="3"/>
      <c r="F654" s="3"/>
      <c r="G654" s="3"/>
    </row>
    <row r="655" spans="1:7" ht="12.75">
      <c r="A655" s="3"/>
      <c r="B655" s="85"/>
      <c r="C655" s="8"/>
      <c r="D655" s="3"/>
      <c r="E655" s="3"/>
      <c r="F655" s="3"/>
      <c r="G655" s="3"/>
    </row>
    <row r="656" spans="1:7" ht="12.75">
      <c r="A656" s="3"/>
      <c r="B656" s="85"/>
      <c r="C656" s="8"/>
      <c r="D656" s="3"/>
      <c r="E656" s="3"/>
      <c r="F656" s="3"/>
      <c r="G656" s="3"/>
    </row>
    <row r="657" spans="1:7" ht="12.75">
      <c r="A657" s="3"/>
      <c r="B657" s="85"/>
      <c r="C657" s="8"/>
      <c r="D657" s="3"/>
      <c r="E657" s="3"/>
      <c r="F657" s="3"/>
      <c r="G657" s="3"/>
    </row>
    <row r="658" spans="1:7" ht="12.75">
      <c r="A658" s="3"/>
      <c r="B658" s="85"/>
      <c r="C658" s="8"/>
      <c r="D658" s="3"/>
      <c r="E658" s="3"/>
      <c r="F658" s="3"/>
      <c r="G658" s="3"/>
    </row>
    <row r="659" spans="1:7" ht="12.75">
      <c r="A659" s="3"/>
      <c r="B659" s="85"/>
      <c r="C659" s="8"/>
      <c r="D659" s="3"/>
      <c r="E659" s="3"/>
      <c r="F659" s="3"/>
      <c r="G659" s="3"/>
    </row>
    <row r="660" spans="1:7" ht="12.75">
      <c r="A660" s="3"/>
      <c r="B660" s="85"/>
      <c r="C660" s="8"/>
      <c r="D660" s="3"/>
      <c r="E660" s="3"/>
      <c r="F660" s="3"/>
      <c r="G660" s="3"/>
    </row>
    <row r="661" spans="1:7" ht="12.75">
      <c r="A661" s="3"/>
      <c r="B661" s="85"/>
      <c r="C661" s="8"/>
      <c r="D661" s="3"/>
      <c r="E661" s="3"/>
      <c r="F661" s="3"/>
      <c r="G661" s="3"/>
    </row>
    <row r="662" spans="1:7" ht="12.75">
      <c r="A662" s="3"/>
      <c r="B662" s="85"/>
      <c r="C662" s="8"/>
      <c r="D662" s="3"/>
      <c r="E662" s="3"/>
      <c r="F662" s="3"/>
      <c r="G662" s="3"/>
    </row>
    <row r="663" spans="1:7" ht="12.75">
      <c r="A663" s="3"/>
      <c r="B663" s="85"/>
      <c r="C663" s="8"/>
      <c r="D663" s="3"/>
      <c r="E663" s="3"/>
      <c r="F663" s="3"/>
      <c r="G663" s="3"/>
    </row>
    <row r="664" spans="1:7" ht="12.75">
      <c r="A664" s="3"/>
      <c r="B664" s="85"/>
      <c r="C664" s="8"/>
      <c r="D664" s="3"/>
      <c r="E664" s="3"/>
      <c r="F664" s="3"/>
      <c r="G664" s="3"/>
    </row>
    <row r="665" spans="1:7" ht="12.75">
      <c r="A665" s="3"/>
      <c r="B665" s="85"/>
      <c r="C665" s="8"/>
      <c r="D665" s="3"/>
      <c r="E665" s="3"/>
      <c r="F665" s="3"/>
      <c r="G665" s="3"/>
    </row>
    <row r="666" spans="1:7" ht="12.75">
      <c r="A666" s="3"/>
      <c r="B666" s="85"/>
      <c r="C666" s="8"/>
      <c r="D666" s="3"/>
      <c r="E666" s="3"/>
      <c r="F666" s="3"/>
      <c r="G666" s="3"/>
    </row>
    <row r="667" spans="1:7" ht="12.75">
      <c r="A667" s="3"/>
      <c r="B667" s="85"/>
      <c r="C667" s="8"/>
      <c r="D667" s="3"/>
      <c r="E667" s="3"/>
      <c r="F667" s="3"/>
      <c r="G667" s="3"/>
    </row>
    <row r="668" spans="1:7" ht="12.75">
      <c r="A668" s="3"/>
      <c r="B668" s="85"/>
      <c r="C668" s="8"/>
      <c r="D668" s="3"/>
      <c r="E668" s="3"/>
      <c r="F668" s="3"/>
      <c r="G668" s="3"/>
    </row>
    <row r="669" spans="1:7" ht="12.75">
      <c r="A669" s="3"/>
      <c r="B669" s="85"/>
      <c r="C669" s="8"/>
      <c r="D669" s="3"/>
      <c r="E669" s="3"/>
      <c r="F669" s="3"/>
      <c r="G669" s="3"/>
    </row>
    <row r="670" spans="1:7" ht="12.75">
      <c r="A670" s="3"/>
      <c r="B670" s="85"/>
      <c r="C670" s="8"/>
      <c r="D670" s="3"/>
      <c r="E670" s="3"/>
      <c r="F670" s="3"/>
      <c r="G670" s="3"/>
    </row>
    <row r="671" spans="1:7" ht="12.75">
      <c r="A671" s="3"/>
      <c r="B671" s="85"/>
      <c r="C671" s="8"/>
      <c r="D671" s="3"/>
      <c r="E671" s="3"/>
      <c r="F671" s="3"/>
      <c r="G671" s="3"/>
    </row>
    <row r="672" spans="1:7" ht="12.75">
      <c r="A672" s="3"/>
      <c r="B672" s="85"/>
      <c r="C672" s="8"/>
      <c r="D672" s="3"/>
      <c r="E672" s="3"/>
      <c r="F672" s="3"/>
      <c r="G672" s="3"/>
    </row>
    <row r="673" spans="1:7" ht="12.75">
      <c r="A673" s="3"/>
      <c r="B673" s="85"/>
      <c r="C673" s="8"/>
      <c r="D673" s="3"/>
      <c r="E673" s="3"/>
      <c r="F673" s="3"/>
      <c r="G673" s="3"/>
    </row>
    <row r="674" spans="1:7" ht="12.75">
      <c r="A674" s="3"/>
      <c r="B674" s="85"/>
      <c r="C674" s="8"/>
      <c r="D674" s="3"/>
      <c r="E674" s="3"/>
      <c r="F674" s="3"/>
      <c r="G674" s="3"/>
    </row>
    <row r="675" spans="1:7" ht="12.75">
      <c r="A675" s="3"/>
      <c r="B675" s="85"/>
      <c r="C675" s="8"/>
      <c r="D675" s="3"/>
      <c r="E675" s="3"/>
      <c r="F675" s="3"/>
      <c r="G675" s="3"/>
    </row>
    <row r="676" spans="1:7" ht="12.75">
      <c r="A676" s="3"/>
      <c r="B676" s="85"/>
      <c r="C676" s="8"/>
      <c r="D676" s="3"/>
      <c r="E676" s="3"/>
      <c r="F676" s="3"/>
      <c r="G676" s="3"/>
    </row>
    <row r="677" spans="1:7" ht="12.75">
      <c r="A677" s="3"/>
      <c r="B677" s="85"/>
      <c r="C677" s="8"/>
      <c r="D677" s="3"/>
      <c r="E677" s="3"/>
      <c r="F677" s="3"/>
      <c r="G677" s="3"/>
    </row>
    <row r="678" spans="1:7" ht="12.75">
      <c r="A678" s="3"/>
      <c r="B678" s="85"/>
      <c r="C678" s="8"/>
      <c r="D678" s="3"/>
      <c r="E678" s="3"/>
      <c r="F678" s="3"/>
      <c r="G678" s="3"/>
    </row>
    <row r="679" spans="1:7" ht="12.75">
      <c r="A679" s="3"/>
      <c r="B679" s="85"/>
      <c r="C679" s="8"/>
      <c r="D679" s="3"/>
      <c r="E679" s="3"/>
      <c r="F679" s="3"/>
      <c r="G679" s="3"/>
    </row>
    <row r="680" spans="1:7" ht="12.75">
      <c r="A680" s="3"/>
      <c r="B680" s="85"/>
      <c r="C680" s="8"/>
      <c r="D680" s="3"/>
      <c r="E680" s="3"/>
      <c r="F680" s="3"/>
      <c r="G680" s="3"/>
    </row>
    <row r="681" spans="1:7" ht="12.75">
      <c r="A681" s="3"/>
      <c r="B681" s="85"/>
      <c r="C681" s="8"/>
      <c r="D681" s="3"/>
      <c r="E681" s="3"/>
      <c r="F681" s="3"/>
      <c r="G681" s="3"/>
    </row>
    <row r="682" spans="1:7" ht="12.75">
      <c r="A682" s="3"/>
      <c r="B682" s="85"/>
      <c r="C682" s="8"/>
      <c r="D682" s="3"/>
      <c r="E682" s="3"/>
      <c r="F682" s="3"/>
      <c r="G682" s="3"/>
    </row>
    <row r="683" spans="1:7" ht="12.75">
      <c r="A683" s="3"/>
      <c r="B683" s="85"/>
      <c r="C683" s="8"/>
      <c r="D683" s="3"/>
      <c r="E683" s="3"/>
      <c r="F683" s="3"/>
      <c r="G683" s="3"/>
    </row>
    <row r="684" spans="1:7" ht="12.75">
      <c r="A684" s="3"/>
      <c r="B684" s="85"/>
      <c r="C684" s="8"/>
      <c r="D684" s="3"/>
      <c r="E684" s="3"/>
      <c r="F684" s="3"/>
      <c r="G684" s="3"/>
    </row>
    <row r="685" spans="1:7" ht="12.75">
      <c r="A685" s="3"/>
      <c r="B685" s="85"/>
      <c r="C685" s="8"/>
      <c r="D685" s="3"/>
      <c r="E685" s="3"/>
      <c r="F685" s="3"/>
      <c r="G685" s="3"/>
    </row>
    <row r="686" spans="1:7" ht="12.75">
      <c r="A686" s="3"/>
      <c r="B686" s="85"/>
      <c r="C686" s="8"/>
      <c r="D686" s="3"/>
      <c r="E686" s="3"/>
      <c r="F686" s="3"/>
      <c r="G686" s="3"/>
    </row>
    <row r="687" spans="1:7" ht="12.75">
      <c r="A687" s="3"/>
      <c r="B687" s="85"/>
      <c r="C687" s="8"/>
      <c r="D687" s="3"/>
      <c r="E687" s="3"/>
      <c r="F687" s="3"/>
      <c r="G687" s="3"/>
    </row>
    <row r="688" spans="1:7" ht="12.75">
      <c r="A688" s="3"/>
      <c r="B688" s="85"/>
      <c r="C688" s="8"/>
      <c r="D688" s="3"/>
      <c r="E688" s="3"/>
      <c r="F688" s="3"/>
      <c r="G688" s="3"/>
    </row>
    <row r="689" spans="1:7" ht="12.75">
      <c r="A689" s="3"/>
      <c r="B689" s="85"/>
      <c r="C689" s="8"/>
      <c r="D689" s="3"/>
      <c r="E689" s="3"/>
      <c r="F689" s="3"/>
      <c r="G689" s="3"/>
    </row>
    <row r="690" spans="1:7" ht="12.75">
      <c r="A690" s="3"/>
      <c r="B690" s="85"/>
      <c r="C690" s="8"/>
      <c r="D690" s="3"/>
      <c r="E690" s="3"/>
      <c r="F690" s="3"/>
      <c r="G690" s="3"/>
    </row>
    <row r="691" spans="1:7" ht="12.75">
      <c r="A691" s="3"/>
      <c r="B691" s="85"/>
      <c r="C691" s="8"/>
      <c r="D691" s="3"/>
      <c r="E691" s="3"/>
      <c r="F691" s="3"/>
      <c r="G691" s="3"/>
    </row>
    <row r="692" spans="1:7" ht="12.75">
      <c r="A692" s="3"/>
      <c r="B692" s="85"/>
      <c r="C692" s="8"/>
      <c r="D692" s="3"/>
      <c r="E692" s="3"/>
      <c r="F692" s="3"/>
      <c r="G692" s="3"/>
    </row>
    <row r="693" spans="1:7" ht="12.75">
      <c r="A693" s="3"/>
      <c r="B693" s="85"/>
      <c r="C693" s="8"/>
      <c r="D693" s="3"/>
      <c r="E693" s="3"/>
      <c r="F693" s="3"/>
      <c r="G693" s="3"/>
    </row>
    <row r="694" spans="1:7" ht="12.75">
      <c r="A694" s="3"/>
      <c r="B694" s="85"/>
      <c r="C694" s="8"/>
      <c r="D694" s="3"/>
      <c r="E694" s="3"/>
      <c r="F694" s="3"/>
      <c r="G694" s="3"/>
    </row>
    <row r="695" spans="1:7" ht="12.75">
      <c r="A695" s="3"/>
      <c r="B695" s="85"/>
      <c r="C695" s="8"/>
      <c r="D695" s="3"/>
      <c r="E695" s="3"/>
      <c r="F695" s="3"/>
      <c r="G695" s="3"/>
    </row>
    <row r="696" spans="1:7" ht="12.75">
      <c r="A696" s="3"/>
      <c r="B696" s="85"/>
      <c r="C696" s="8"/>
      <c r="D696" s="3"/>
      <c r="E696" s="3"/>
      <c r="F696" s="3"/>
      <c r="G696" s="3"/>
    </row>
    <row r="697" spans="1:7" ht="12.75">
      <c r="A697" s="3"/>
      <c r="B697" s="85"/>
      <c r="C697" s="8"/>
      <c r="D697" s="3"/>
      <c r="E697" s="3"/>
      <c r="F697" s="3"/>
      <c r="G697" s="3"/>
    </row>
    <row r="698" spans="1:7" ht="12.75">
      <c r="A698" s="3"/>
      <c r="B698" s="85"/>
      <c r="C698" s="8"/>
      <c r="D698" s="3"/>
      <c r="E698" s="3"/>
      <c r="F698" s="3"/>
      <c r="G698" s="3"/>
    </row>
    <row r="699" spans="1:7" ht="12.75">
      <c r="A699" s="3"/>
      <c r="B699" s="85"/>
      <c r="C699" s="8"/>
      <c r="D699" s="3"/>
      <c r="E699" s="3"/>
      <c r="F699" s="3"/>
      <c r="G699" s="3"/>
    </row>
    <row r="700" spans="1:7" ht="12.75">
      <c r="A700" s="3"/>
      <c r="B700" s="85"/>
      <c r="C700" s="8"/>
      <c r="D700" s="3"/>
      <c r="E700" s="3"/>
      <c r="F700" s="3"/>
      <c r="G700" s="3"/>
    </row>
    <row r="701" spans="1:7" ht="12.75">
      <c r="A701" s="3"/>
      <c r="B701" s="85"/>
      <c r="C701" s="8"/>
      <c r="D701" s="3"/>
      <c r="E701" s="3"/>
      <c r="F701" s="3"/>
      <c r="G701" s="3"/>
    </row>
    <row r="702" spans="1:7" ht="12.75">
      <c r="A702" s="3"/>
      <c r="B702" s="85"/>
      <c r="C702" s="8"/>
      <c r="D702" s="3"/>
      <c r="E702" s="3"/>
      <c r="F702" s="3"/>
      <c r="G702" s="3"/>
    </row>
    <row r="703" spans="1:7" ht="12.75">
      <c r="A703" s="3"/>
      <c r="B703" s="85"/>
      <c r="C703" s="8"/>
      <c r="D703" s="3"/>
      <c r="E703" s="3"/>
      <c r="F703" s="3"/>
      <c r="G703" s="3"/>
    </row>
    <row r="704" spans="1:7" ht="12.75">
      <c r="A704" s="3"/>
      <c r="B704" s="85"/>
      <c r="C704" s="8"/>
      <c r="D704" s="3"/>
      <c r="E704" s="3"/>
      <c r="F704" s="3"/>
      <c r="G704" s="3"/>
    </row>
    <row r="705" spans="1:7" ht="12.75">
      <c r="A705" s="3"/>
      <c r="B705" s="85"/>
      <c r="C705" s="8"/>
      <c r="D705" s="3"/>
      <c r="E705" s="3"/>
      <c r="F705" s="3"/>
      <c r="G705" s="3"/>
    </row>
    <row r="706" spans="1:7" ht="12.75">
      <c r="A706" s="3"/>
      <c r="B706" s="85"/>
      <c r="C706" s="8"/>
      <c r="D706" s="3"/>
      <c r="E706" s="3"/>
      <c r="F706" s="3"/>
      <c r="G706" s="3"/>
    </row>
    <row r="707" spans="1:7" ht="12.75">
      <c r="A707" s="3"/>
      <c r="B707" s="85"/>
      <c r="C707" s="8"/>
      <c r="D707" s="3"/>
      <c r="E707" s="3"/>
      <c r="F707" s="3"/>
      <c r="G707" s="3"/>
    </row>
    <row r="708" spans="1:7" ht="12.75">
      <c r="A708" s="3"/>
      <c r="B708" s="85"/>
      <c r="C708" s="8"/>
      <c r="D708" s="3"/>
      <c r="E708" s="3"/>
      <c r="F708" s="3"/>
      <c r="G708" s="3"/>
    </row>
    <row r="709" spans="1:7" ht="12.75">
      <c r="A709" s="3"/>
      <c r="B709" s="85"/>
      <c r="C709" s="8"/>
      <c r="D709" s="3"/>
      <c r="E709" s="3"/>
      <c r="F709" s="3"/>
      <c r="G709" s="3"/>
    </row>
    <row r="710" spans="1:7" ht="12.75">
      <c r="A710" s="3"/>
      <c r="B710" s="85"/>
      <c r="C710" s="8"/>
      <c r="D710" s="3"/>
      <c r="E710" s="3"/>
      <c r="F710" s="3"/>
      <c r="G710" s="3"/>
    </row>
    <row r="711" spans="1:7" ht="12.75">
      <c r="A711" s="3"/>
      <c r="B711" s="85"/>
      <c r="C711" s="8"/>
      <c r="D711" s="3"/>
      <c r="E711" s="3"/>
      <c r="F711" s="3"/>
      <c r="G711" s="3"/>
    </row>
    <row r="712" spans="1:7" ht="12.75">
      <c r="A712" s="3"/>
      <c r="B712" s="85"/>
      <c r="C712" s="8"/>
      <c r="D712" s="3"/>
      <c r="E712" s="3"/>
      <c r="F712" s="3"/>
      <c r="G712" s="3"/>
    </row>
    <row r="713" spans="1:7" ht="12.75">
      <c r="A713" s="3"/>
      <c r="B713" s="85"/>
      <c r="C713" s="8"/>
      <c r="D713" s="3"/>
      <c r="E713" s="3"/>
      <c r="F713" s="3"/>
      <c r="G713" s="3"/>
    </row>
    <row r="714" spans="1:7" ht="12.75">
      <c r="A714" s="3"/>
      <c r="B714" s="85"/>
      <c r="C714" s="8"/>
      <c r="D714" s="3"/>
      <c r="E714" s="3"/>
      <c r="F714" s="3"/>
      <c r="G714" s="3"/>
    </row>
    <row r="715" spans="1:7" ht="12.75">
      <c r="A715" s="3"/>
      <c r="B715" s="85"/>
      <c r="C715" s="8"/>
      <c r="D715" s="3"/>
      <c r="E715" s="3"/>
      <c r="F715" s="3"/>
      <c r="G715" s="3"/>
    </row>
    <row r="716" spans="1:7" ht="12.75">
      <c r="A716" s="3"/>
      <c r="B716" s="85"/>
      <c r="C716" s="8"/>
      <c r="D716" s="3"/>
      <c r="E716" s="3"/>
      <c r="F716" s="3"/>
      <c r="G716" s="3"/>
    </row>
    <row r="717" spans="1:7" ht="12.75">
      <c r="A717" s="3"/>
      <c r="B717" s="85"/>
      <c r="C717" s="8"/>
      <c r="D717" s="3"/>
      <c r="E717" s="3"/>
      <c r="F717" s="3"/>
      <c r="G717" s="3"/>
    </row>
    <row r="718" spans="1:7" ht="12.75">
      <c r="A718" s="3"/>
      <c r="B718" s="85"/>
      <c r="C718" s="8"/>
      <c r="D718" s="3"/>
      <c r="E718" s="3"/>
      <c r="F718" s="3"/>
      <c r="G718" s="3"/>
    </row>
    <row r="719" spans="1:7" ht="12.75">
      <c r="A719" s="3"/>
      <c r="B719" s="85"/>
      <c r="C719" s="8"/>
      <c r="D719" s="3"/>
      <c r="E719" s="3"/>
      <c r="F719" s="3"/>
      <c r="G719" s="3"/>
    </row>
    <row r="720" spans="1:7" ht="12.75">
      <c r="A720" s="3"/>
      <c r="B720" s="85"/>
      <c r="C720" s="8"/>
      <c r="D720" s="3"/>
      <c r="E720" s="3"/>
      <c r="F720" s="3"/>
      <c r="G720" s="3"/>
    </row>
    <row r="721" spans="1:7" ht="12.75">
      <c r="A721" s="3"/>
      <c r="B721" s="85"/>
      <c r="C721" s="8"/>
      <c r="D721" s="3"/>
      <c r="E721" s="3"/>
      <c r="F721" s="3"/>
      <c r="G721" s="3"/>
    </row>
    <row r="722" spans="1:7" ht="12.75">
      <c r="A722" s="3"/>
      <c r="B722" s="85"/>
      <c r="C722" s="8"/>
      <c r="D722" s="3"/>
      <c r="E722" s="3"/>
      <c r="F722" s="3"/>
      <c r="G722" s="3"/>
    </row>
    <row r="723" spans="1:7" ht="12.75">
      <c r="A723" s="3"/>
      <c r="B723" s="85"/>
      <c r="C723" s="8"/>
      <c r="D723" s="3"/>
      <c r="E723" s="3"/>
      <c r="F723" s="3"/>
      <c r="G723" s="3"/>
    </row>
    <row r="724" spans="1:7" ht="12.75">
      <c r="A724" s="3"/>
      <c r="B724" s="85"/>
      <c r="C724" s="8"/>
      <c r="D724" s="3"/>
      <c r="E724" s="3"/>
      <c r="F724" s="3"/>
      <c r="G724" s="3"/>
    </row>
    <row r="725" spans="1:7" ht="12.75">
      <c r="A725" s="3"/>
      <c r="B725" s="85"/>
      <c r="C725" s="8"/>
      <c r="D725" s="3"/>
      <c r="E725" s="3"/>
      <c r="F725" s="3"/>
      <c r="G725" s="3"/>
    </row>
    <row r="726" spans="1:7" ht="12.75">
      <c r="A726" s="3"/>
      <c r="B726" s="85"/>
      <c r="C726" s="8"/>
      <c r="D726" s="3"/>
      <c r="E726" s="3"/>
      <c r="F726" s="3"/>
      <c r="G726" s="3"/>
    </row>
    <row r="727" spans="1:7" ht="12.75">
      <c r="A727" s="3"/>
      <c r="B727" s="85"/>
      <c r="C727" s="8"/>
      <c r="D727" s="3"/>
      <c r="E727" s="3"/>
      <c r="F727" s="3"/>
      <c r="G727" s="3"/>
    </row>
    <row r="728" spans="1:7" ht="12.75">
      <c r="A728" s="3"/>
      <c r="B728" s="85"/>
      <c r="C728" s="8"/>
      <c r="D728" s="3"/>
      <c r="E728" s="3"/>
      <c r="F728" s="3"/>
      <c r="G728" s="3"/>
    </row>
    <row r="729" spans="1:7" ht="12.75">
      <c r="A729" s="3"/>
      <c r="B729" s="85"/>
      <c r="C729" s="8"/>
      <c r="D729" s="3"/>
      <c r="E729" s="3"/>
      <c r="F729" s="3"/>
      <c r="G729" s="3"/>
    </row>
    <row r="730" spans="1:7" ht="12.75">
      <c r="A730" s="3"/>
      <c r="B730" s="85"/>
      <c r="C730" s="8"/>
      <c r="D730" s="3"/>
      <c r="E730" s="3"/>
      <c r="F730" s="3"/>
      <c r="G730" s="3"/>
    </row>
    <row r="731" spans="1:7" ht="12.75">
      <c r="A731" s="3"/>
      <c r="B731" s="85"/>
      <c r="C731" s="8"/>
      <c r="D731" s="3"/>
      <c r="E731" s="3"/>
      <c r="F731" s="3"/>
      <c r="G731" s="3"/>
    </row>
    <row r="732" spans="1:7" ht="12.75">
      <c r="A732" s="3"/>
      <c r="B732" s="85"/>
      <c r="C732" s="8"/>
      <c r="D732" s="3"/>
      <c r="E732" s="3"/>
      <c r="F732" s="3"/>
      <c r="G732" s="3"/>
    </row>
    <row r="733" spans="1:7" ht="12.75">
      <c r="A733" s="3"/>
      <c r="B733" s="85"/>
      <c r="C733" s="8"/>
      <c r="D733" s="3"/>
      <c r="E733" s="3"/>
      <c r="F733" s="3"/>
      <c r="G733" s="3"/>
    </row>
    <row r="734" spans="1:7" ht="12.75">
      <c r="A734" s="3"/>
      <c r="B734" s="85"/>
      <c r="C734" s="8"/>
      <c r="D734" s="3"/>
      <c r="E734" s="3"/>
      <c r="F734" s="3"/>
      <c r="G734" s="3"/>
    </row>
    <row r="735" spans="1:7" ht="12.75">
      <c r="A735" s="3"/>
      <c r="B735" s="85"/>
      <c r="C735" s="8"/>
      <c r="D735" s="3"/>
      <c r="E735" s="3"/>
      <c r="F735" s="3"/>
      <c r="G735" s="3"/>
    </row>
    <row r="736" spans="1:7" ht="12.75">
      <c r="A736" s="3"/>
      <c r="B736" s="85"/>
      <c r="C736" s="8"/>
      <c r="D736" s="3"/>
      <c r="E736" s="3"/>
      <c r="F736" s="3"/>
      <c r="G736" s="3"/>
    </row>
    <row r="737" spans="1:7" ht="12.75">
      <c r="A737" s="3"/>
      <c r="B737" s="85"/>
      <c r="C737" s="8"/>
      <c r="D737" s="3"/>
      <c r="E737" s="3"/>
      <c r="F737" s="3"/>
      <c r="G737" s="3"/>
    </row>
    <row r="738" spans="1:7" ht="12.75">
      <c r="A738" s="3"/>
      <c r="B738" s="85"/>
      <c r="C738" s="8"/>
      <c r="D738" s="3"/>
      <c r="E738" s="3"/>
      <c r="F738" s="3"/>
      <c r="G738" s="3"/>
    </row>
    <row r="739" spans="1:7" ht="12.75">
      <c r="A739" s="3"/>
      <c r="B739" s="85"/>
      <c r="C739" s="8"/>
      <c r="D739" s="3"/>
      <c r="E739" s="3"/>
      <c r="F739" s="3"/>
      <c r="G739" s="3"/>
    </row>
    <row r="740" spans="1:7" ht="12.75">
      <c r="A740" s="3"/>
      <c r="B740" s="85"/>
      <c r="C740" s="8"/>
      <c r="D740" s="3"/>
      <c r="E740" s="3"/>
      <c r="F740" s="3"/>
      <c r="G740" s="3"/>
    </row>
    <row r="741" spans="1:7" ht="12.75">
      <c r="A741" s="3"/>
      <c r="B741" s="85"/>
      <c r="C741" s="8"/>
      <c r="D741" s="3"/>
      <c r="E741" s="3"/>
      <c r="F741" s="3"/>
      <c r="G741" s="3"/>
    </row>
    <row r="742" spans="1:7" ht="12.75">
      <c r="A742" s="3"/>
      <c r="B742" s="85"/>
      <c r="C742" s="8"/>
      <c r="D742" s="3"/>
      <c r="E742" s="3"/>
      <c r="F742" s="3"/>
      <c r="G742" s="3"/>
    </row>
    <row r="743" spans="1:7" ht="12.75">
      <c r="A743" s="3"/>
      <c r="B743" s="85"/>
      <c r="C743" s="8"/>
      <c r="D743" s="3"/>
      <c r="E743" s="3"/>
      <c r="F743" s="3"/>
      <c r="G743" s="3"/>
    </row>
    <row r="744" spans="1:7" ht="12.75">
      <c r="A744" s="3"/>
      <c r="B744" s="85"/>
      <c r="C744" s="8"/>
      <c r="D744" s="3"/>
      <c r="E744" s="3"/>
      <c r="F744" s="3"/>
      <c r="G744" s="3"/>
    </row>
    <row r="745" spans="1:7" ht="12.75">
      <c r="A745" s="3"/>
      <c r="B745" s="85"/>
      <c r="C745" s="8"/>
      <c r="D745" s="3"/>
      <c r="E745" s="3"/>
      <c r="F745" s="3"/>
      <c r="G745" s="3"/>
    </row>
    <row r="746" spans="1:7" ht="12.75">
      <c r="A746" s="3"/>
      <c r="B746" s="85"/>
      <c r="C746" s="8"/>
      <c r="D746" s="3"/>
      <c r="E746" s="3"/>
      <c r="F746" s="3"/>
      <c r="G746" s="3"/>
    </row>
    <row r="747" spans="1:7" ht="12.75">
      <c r="A747" s="3"/>
      <c r="B747" s="85"/>
      <c r="C747" s="8"/>
      <c r="D747" s="3"/>
      <c r="E747" s="3"/>
      <c r="F747" s="3"/>
      <c r="G747" s="3"/>
    </row>
    <row r="748" spans="1:7" ht="12.75">
      <c r="A748" s="3"/>
      <c r="B748" s="85"/>
      <c r="C748" s="8"/>
      <c r="D748" s="3"/>
      <c r="E748" s="3"/>
      <c r="F748" s="3"/>
      <c r="G748" s="3"/>
    </row>
    <row r="749" spans="1:7" ht="12.75">
      <c r="A749" s="3"/>
      <c r="B749" s="85"/>
      <c r="C749" s="8"/>
      <c r="D749" s="3"/>
      <c r="E749" s="3"/>
      <c r="F749" s="3"/>
      <c r="G749" s="3"/>
    </row>
    <row r="750" spans="1:7" ht="12.75">
      <c r="A750" s="3"/>
      <c r="B750" s="85"/>
      <c r="C750" s="8"/>
      <c r="D750" s="3"/>
      <c r="E750" s="3"/>
      <c r="F750" s="3"/>
      <c r="G750" s="3"/>
    </row>
    <row r="751" spans="1:7" ht="12.75">
      <c r="A751" s="3"/>
      <c r="B751" s="85"/>
      <c r="C751" s="8"/>
      <c r="D751" s="3"/>
      <c r="E751" s="3"/>
      <c r="F751" s="3"/>
      <c r="G751" s="3"/>
    </row>
    <row r="752" spans="1:7" ht="12.75">
      <c r="A752" s="3"/>
      <c r="B752" s="85"/>
      <c r="C752" s="8"/>
      <c r="D752" s="3"/>
      <c r="E752" s="3"/>
      <c r="F752" s="3"/>
      <c r="G752" s="3"/>
    </row>
    <row r="753" spans="1:7" ht="12.75">
      <c r="A753" s="3"/>
      <c r="B753" s="85"/>
      <c r="C753" s="8"/>
      <c r="D753" s="3"/>
      <c r="E753" s="3"/>
      <c r="F753" s="3"/>
      <c r="G753" s="3"/>
    </row>
    <row r="754" spans="1:7" ht="12.75">
      <c r="A754" s="3"/>
      <c r="B754" s="85"/>
      <c r="C754" s="8"/>
      <c r="D754" s="3"/>
      <c r="E754" s="3"/>
      <c r="F754" s="3"/>
      <c r="G754" s="3"/>
    </row>
    <row r="755" spans="1:7" ht="12.75">
      <c r="A755" s="3"/>
      <c r="B755" s="85"/>
      <c r="C755" s="8"/>
      <c r="D755" s="3"/>
      <c r="E755" s="3"/>
      <c r="F755" s="3"/>
      <c r="G755" s="3"/>
    </row>
    <row r="756" spans="1:7" ht="12.75">
      <c r="A756" s="3"/>
      <c r="B756" s="85"/>
      <c r="C756" s="8"/>
      <c r="D756" s="3"/>
      <c r="E756" s="3"/>
      <c r="F756" s="3"/>
      <c r="G756" s="3"/>
    </row>
    <row r="757" spans="1:7" ht="12.75">
      <c r="A757" s="3"/>
      <c r="B757" s="85"/>
      <c r="C757" s="8"/>
      <c r="D757" s="3"/>
      <c r="E757" s="3"/>
      <c r="F757" s="3"/>
      <c r="G757" s="3"/>
    </row>
    <row r="758" spans="1:7" ht="12.75">
      <c r="A758" s="3"/>
      <c r="B758" s="85"/>
      <c r="C758" s="8"/>
      <c r="D758" s="3"/>
      <c r="E758" s="3"/>
      <c r="F758" s="3"/>
      <c r="G758" s="3"/>
    </row>
    <row r="759" spans="1:7" ht="12.75">
      <c r="A759" s="3"/>
      <c r="B759" s="85"/>
      <c r="C759" s="8"/>
      <c r="D759" s="3"/>
      <c r="E759" s="3"/>
      <c r="F759" s="3"/>
      <c r="G759" s="3"/>
    </row>
    <row r="760" spans="1:7" ht="12.75">
      <c r="A760" s="3"/>
      <c r="B760" s="85"/>
      <c r="C760" s="8"/>
      <c r="D760" s="3"/>
      <c r="E760" s="3"/>
      <c r="F760" s="3"/>
      <c r="G760" s="3"/>
    </row>
    <row r="761" spans="1:7" ht="12.75">
      <c r="A761" s="3"/>
      <c r="B761" s="85"/>
      <c r="C761" s="8"/>
      <c r="D761" s="3"/>
      <c r="E761" s="3"/>
      <c r="F761" s="3"/>
      <c r="G761" s="3"/>
    </row>
    <row r="762" spans="1:7" ht="12.75">
      <c r="A762" s="3"/>
      <c r="B762" s="85"/>
      <c r="C762" s="8"/>
      <c r="D762" s="3"/>
      <c r="E762" s="3"/>
      <c r="F762" s="3"/>
      <c r="G762" s="3"/>
    </row>
    <row r="763" spans="1:7" ht="12.75">
      <c r="A763" s="3"/>
      <c r="B763" s="85"/>
      <c r="C763" s="8"/>
      <c r="D763" s="3"/>
      <c r="E763" s="3"/>
      <c r="F763" s="3"/>
      <c r="G763" s="3"/>
    </row>
    <row r="764" spans="1:7" ht="12.75">
      <c r="A764" s="3"/>
      <c r="B764" s="85"/>
      <c r="C764" s="8"/>
      <c r="D764" s="3"/>
      <c r="E764" s="3"/>
      <c r="F764" s="3"/>
      <c r="G764" s="3"/>
    </row>
    <row r="765" spans="1:7" ht="12.75">
      <c r="A765" s="3"/>
      <c r="B765" s="85"/>
      <c r="C765" s="8"/>
      <c r="D765" s="3"/>
      <c r="E765" s="3"/>
      <c r="F765" s="3"/>
      <c r="G765" s="3"/>
    </row>
    <row r="766" spans="1:7" ht="12.75">
      <c r="A766" s="3"/>
      <c r="B766" s="85"/>
      <c r="C766" s="8"/>
      <c r="D766" s="3"/>
      <c r="E766" s="3"/>
      <c r="F766" s="3"/>
      <c r="G766" s="3"/>
    </row>
    <row r="767" spans="1:7" ht="12.75">
      <c r="A767" s="3"/>
      <c r="B767" s="85"/>
      <c r="C767" s="8"/>
      <c r="D767" s="3"/>
      <c r="E767" s="3"/>
      <c r="F767" s="3"/>
      <c r="G767" s="3"/>
    </row>
    <row r="768" spans="1:7" ht="12.75">
      <c r="A768" s="3"/>
      <c r="B768" s="85"/>
      <c r="C768" s="8"/>
      <c r="D768" s="3"/>
      <c r="E768" s="3"/>
      <c r="F768" s="3"/>
      <c r="G768" s="3"/>
    </row>
    <row r="769" spans="1:7" ht="12.75">
      <c r="A769" s="3"/>
      <c r="B769" s="85"/>
      <c r="C769" s="8"/>
      <c r="D769" s="3"/>
      <c r="E769" s="3"/>
      <c r="F769" s="3"/>
      <c r="G769" s="3"/>
    </row>
    <row r="770" spans="1:7" ht="12.75">
      <c r="A770" s="3"/>
      <c r="B770" s="85"/>
      <c r="C770" s="8"/>
      <c r="D770" s="3"/>
      <c r="E770" s="3"/>
      <c r="F770" s="3"/>
      <c r="G770" s="3"/>
    </row>
    <row r="771" spans="1:7" ht="12.75">
      <c r="A771" s="3"/>
      <c r="B771" s="85"/>
      <c r="C771" s="8"/>
      <c r="D771" s="3"/>
      <c r="E771" s="3"/>
      <c r="F771" s="3"/>
      <c r="G771" s="3"/>
    </row>
    <row r="772" spans="1:7" ht="12.75">
      <c r="A772" s="3"/>
      <c r="B772" s="85"/>
      <c r="C772" s="8"/>
      <c r="D772" s="3"/>
      <c r="E772" s="3"/>
      <c r="F772" s="3"/>
      <c r="G772" s="3"/>
    </row>
    <row r="773" spans="1:7" ht="12.75">
      <c r="A773" s="3"/>
      <c r="B773" s="85"/>
      <c r="C773" s="8"/>
      <c r="D773" s="3"/>
      <c r="E773" s="3"/>
      <c r="F773" s="3"/>
      <c r="G773" s="3"/>
    </row>
    <row r="774" spans="1:7" ht="12.75">
      <c r="A774" s="3"/>
      <c r="B774" s="85"/>
      <c r="C774" s="8"/>
      <c r="D774" s="3"/>
      <c r="E774" s="3"/>
      <c r="F774" s="3"/>
      <c r="G774" s="3"/>
    </row>
    <row r="775" spans="1:7" ht="12.75">
      <c r="A775" s="3"/>
      <c r="B775" s="85"/>
      <c r="C775" s="8"/>
      <c r="D775" s="3"/>
      <c r="E775" s="3"/>
      <c r="F775" s="3"/>
      <c r="G775" s="3"/>
    </row>
    <row r="776" spans="1:7" ht="12.75">
      <c r="A776" s="3"/>
      <c r="B776" s="85"/>
      <c r="C776" s="8"/>
      <c r="D776" s="3"/>
      <c r="E776" s="3"/>
      <c r="F776" s="3"/>
      <c r="G776" s="3"/>
    </row>
    <row r="777" spans="1:7" ht="12.75">
      <c r="A777" s="3"/>
      <c r="B777" s="85"/>
      <c r="C777" s="8"/>
      <c r="D777" s="3"/>
      <c r="E777" s="3"/>
      <c r="F777" s="3"/>
      <c r="G777" s="3"/>
    </row>
    <row r="778" spans="1:7" ht="12.75">
      <c r="A778" s="3"/>
      <c r="B778" s="85"/>
      <c r="C778" s="8"/>
      <c r="D778" s="3"/>
      <c r="E778" s="3"/>
      <c r="F778" s="3"/>
      <c r="G778" s="3"/>
    </row>
    <row r="779" spans="1:7" ht="12.75">
      <c r="A779" s="3"/>
      <c r="B779" s="85"/>
      <c r="C779" s="8"/>
      <c r="D779" s="3"/>
      <c r="E779" s="3"/>
      <c r="F779" s="3"/>
      <c r="G779" s="3"/>
    </row>
    <row r="780" spans="1:7" ht="12.75">
      <c r="A780" s="3"/>
      <c r="B780" s="85"/>
      <c r="C780" s="8"/>
      <c r="D780" s="3"/>
      <c r="E780" s="3"/>
      <c r="F780" s="3"/>
      <c r="G780" s="3"/>
    </row>
    <row r="781" spans="1:7" ht="12.75">
      <c r="A781" s="3"/>
      <c r="B781" s="85"/>
      <c r="C781" s="8"/>
      <c r="D781" s="3"/>
      <c r="E781" s="3"/>
      <c r="F781" s="3"/>
      <c r="G781" s="3"/>
    </row>
    <row r="782" spans="1:7" ht="12.75">
      <c r="A782" s="3"/>
      <c r="B782" s="85"/>
      <c r="C782" s="8"/>
      <c r="D782" s="3"/>
      <c r="E782" s="3"/>
      <c r="F782" s="3"/>
      <c r="G782" s="3"/>
    </row>
    <row r="783" spans="1:7" ht="12.75">
      <c r="A783" s="3"/>
      <c r="B783" s="85"/>
      <c r="C783" s="8"/>
      <c r="D783" s="3"/>
      <c r="E783" s="3"/>
      <c r="F783" s="3"/>
      <c r="G783" s="3"/>
    </row>
    <row r="784" spans="1:7" ht="12.75">
      <c r="A784" s="3"/>
      <c r="B784" s="85"/>
      <c r="C784" s="8"/>
      <c r="D784" s="3"/>
      <c r="E784" s="3"/>
      <c r="F784" s="3"/>
      <c r="G784" s="3"/>
    </row>
    <row r="785" spans="1:7" ht="12.75">
      <c r="A785" s="3"/>
      <c r="B785" s="85"/>
      <c r="C785" s="8"/>
      <c r="D785" s="3"/>
      <c r="E785" s="3"/>
      <c r="F785" s="3"/>
      <c r="G785" s="3"/>
    </row>
    <row r="786" spans="1:7" ht="12.75">
      <c r="A786" s="3"/>
      <c r="B786" s="85"/>
      <c r="C786" s="8"/>
      <c r="D786" s="3"/>
      <c r="E786" s="3"/>
      <c r="F786" s="3"/>
      <c r="G786" s="3"/>
    </row>
    <row r="787" spans="1:7" ht="12.75">
      <c r="A787" s="3"/>
      <c r="B787" s="85"/>
      <c r="C787" s="8"/>
      <c r="D787" s="3"/>
      <c r="E787" s="3"/>
      <c r="F787" s="3"/>
      <c r="G787" s="3"/>
    </row>
    <row r="788" spans="1:7" ht="12.75">
      <c r="A788" s="3"/>
      <c r="B788" s="85"/>
      <c r="C788" s="8"/>
      <c r="D788" s="3"/>
      <c r="E788" s="3"/>
      <c r="F788" s="3"/>
      <c r="G788" s="3"/>
    </row>
    <row r="789" spans="1:7" ht="12.75">
      <c r="A789" s="3"/>
      <c r="B789" s="85"/>
      <c r="C789" s="8"/>
      <c r="D789" s="3"/>
      <c r="E789" s="3"/>
      <c r="F789" s="3"/>
      <c r="G789" s="3"/>
    </row>
    <row r="790" spans="1:7" ht="12.75">
      <c r="A790" s="3"/>
      <c r="B790" s="85"/>
      <c r="C790" s="8"/>
      <c r="D790" s="3"/>
      <c r="E790" s="3"/>
      <c r="F790" s="3"/>
      <c r="G790" s="3"/>
    </row>
    <row r="791" spans="1:7" ht="12.75">
      <c r="A791" s="3"/>
      <c r="B791" s="85"/>
      <c r="C791" s="8"/>
      <c r="D791" s="3"/>
      <c r="E791" s="3"/>
      <c r="F791" s="3"/>
      <c r="G791" s="3"/>
    </row>
    <row r="792" spans="1:7" ht="12.75">
      <c r="A792" s="3"/>
      <c r="B792" s="85"/>
      <c r="C792" s="8"/>
      <c r="D792" s="3"/>
      <c r="E792" s="3"/>
      <c r="F792" s="3"/>
      <c r="G792" s="3"/>
    </row>
    <row r="793" spans="1:7" ht="12.75">
      <c r="A793" s="3"/>
      <c r="B793" s="85"/>
      <c r="C793" s="8"/>
      <c r="D793" s="3"/>
      <c r="E793" s="3"/>
      <c r="F793" s="3"/>
      <c r="G793" s="3"/>
    </row>
    <row r="794" spans="1:7" ht="12.75">
      <c r="A794" s="3"/>
      <c r="B794" s="85"/>
      <c r="C794" s="8"/>
      <c r="D794" s="3"/>
      <c r="E794" s="3"/>
      <c r="F794" s="3"/>
      <c r="G794" s="3"/>
    </row>
    <row r="795" spans="1:7" ht="12.75">
      <c r="A795" s="3"/>
      <c r="B795" s="85"/>
      <c r="C795" s="8"/>
      <c r="D795" s="3"/>
      <c r="E795" s="3"/>
      <c r="F795" s="3"/>
      <c r="G795" s="3"/>
    </row>
    <row r="796" spans="1:7" ht="12.75">
      <c r="A796" s="3"/>
      <c r="B796" s="85"/>
      <c r="C796" s="8"/>
      <c r="D796" s="3"/>
      <c r="E796" s="3"/>
      <c r="F796" s="3"/>
      <c r="G796" s="3"/>
    </row>
    <row r="797" spans="1:7" ht="12.75">
      <c r="A797" s="3"/>
      <c r="B797" s="85"/>
      <c r="C797" s="8"/>
      <c r="D797" s="3"/>
      <c r="E797" s="3"/>
      <c r="F797" s="3"/>
      <c r="G797" s="3"/>
    </row>
    <row r="798" spans="1:7" ht="12.75">
      <c r="A798" s="3"/>
      <c r="B798" s="85"/>
      <c r="C798" s="8"/>
      <c r="D798" s="3"/>
      <c r="E798" s="3"/>
      <c r="F798" s="3"/>
      <c r="G798" s="3"/>
    </row>
    <row r="799" spans="1:7" ht="12.75">
      <c r="A799" s="3"/>
      <c r="B799" s="85"/>
      <c r="C799" s="8"/>
      <c r="D799" s="3"/>
      <c r="E799" s="3"/>
      <c r="F799" s="3"/>
      <c r="G799" s="3"/>
    </row>
    <row r="800" spans="1:7" ht="12.75">
      <c r="A800" s="3"/>
      <c r="B800" s="85"/>
      <c r="C800" s="8"/>
      <c r="D800" s="3"/>
      <c r="E800" s="3"/>
      <c r="F800" s="3"/>
      <c r="G800" s="3"/>
    </row>
    <row r="801" spans="1:7" ht="12.75">
      <c r="A801" s="3"/>
      <c r="B801" s="85"/>
      <c r="C801" s="8"/>
      <c r="D801" s="3"/>
      <c r="E801" s="3"/>
      <c r="F801" s="3"/>
      <c r="G801" s="3"/>
    </row>
    <row r="802" spans="1:7" ht="12.75">
      <c r="A802" s="3"/>
      <c r="B802" s="85"/>
      <c r="C802" s="8"/>
      <c r="D802" s="3"/>
      <c r="E802" s="3"/>
      <c r="F802" s="3"/>
      <c r="G802" s="3"/>
    </row>
    <row r="803" spans="1:7" ht="12.75">
      <c r="A803" s="3"/>
      <c r="B803" s="85"/>
      <c r="C803" s="8"/>
      <c r="D803" s="3"/>
      <c r="E803" s="3"/>
      <c r="F803" s="3"/>
      <c r="G803" s="3"/>
    </row>
    <row r="804" spans="1:7" ht="12.75">
      <c r="A804" s="3"/>
      <c r="B804" s="85"/>
      <c r="C804" s="8"/>
      <c r="D804" s="3"/>
      <c r="E804" s="3"/>
      <c r="F804" s="3"/>
      <c r="G804" s="3"/>
    </row>
    <row r="805" spans="1:7" ht="12.75">
      <c r="A805" s="3"/>
      <c r="B805" s="85"/>
      <c r="C805" s="8"/>
      <c r="D805" s="3"/>
      <c r="E805" s="3"/>
      <c r="F805" s="3"/>
      <c r="G805" s="3"/>
    </row>
    <row r="806" spans="1:7" ht="12.75">
      <c r="A806" s="3"/>
      <c r="B806" s="85"/>
      <c r="C806" s="8"/>
      <c r="D806" s="3"/>
      <c r="E806" s="3"/>
      <c r="F806" s="3"/>
      <c r="G806" s="3"/>
    </row>
    <row r="807" spans="1:7" ht="12.75">
      <c r="A807" s="3"/>
      <c r="B807" s="85"/>
      <c r="C807" s="8"/>
      <c r="D807" s="3"/>
      <c r="E807" s="3"/>
      <c r="F807" s="3"/>
      <c r="G807" s="3"/>
    </row>
    <row r="808" spans="1:7" ht="12.75">
      <c r="A808" s="3"/>
      <c r="B808" s="85"/>
      <c r="C808" s="8"/>
      <c r="D808" s="3"/>
      <c r="E808" s="3"/>
      <c r="F808" s="3"/>
      <c r="G808" s="3"/>
    </row>
    <row r="809" spans="1:7" ht="12.75">
      <c r="A809" s="3"/>
      <c r="B809" s="85"/>
      <c r="C809" s="8"/>
      <c r="D809" s="3"/>
      <c r="E809" s="3"/>
      <c r="F809" s="3"/>
      <c r="G809" s="3"/>
    </row>
    <row r="810" spans="1:7" ht="12.75">
      <c r="A810" s="3"/>
      <c r="B810" s="85"/>
      <c r="C810" s="8"/>
      <c r="D810" s="3"/>
      <c r="E810" s="3"/>
      <c r="F810" s="3"/>
      <c r="G810" s="3"/>
    </row>
    <row r="811" spans="1:7" ht="12.75">
      <c r="A811" s="3"/>
      <c r="B811" s="85"/>
      <c r="C811" s="8"/>
      <c r="D811" s="3"/>
      <c r="E811" s="3"/>
      <c r="F811" s="3"/>
      <c r="G811" s="3"/>
    </row>
    <row r="812" spans="1:7" ht="12.75">
      <c r="A812" s="3"/>
      <c r="B812" s="85"/>
      <c r="C812" s="8"/>
      <c r="D812" s="3"/>
      <c r="E812" s="3"/>
      <c r="F812" s="3"/>
      <c r="G812" s="3"/>
    </row>
    <row r="813" spans="1:7" ht="12.75">
      <c r="A813" s="3"/>
      <c r="B813" s="85"/>
      <c r="C813" s="8"/>
      <c r="D813" s="3"/>
      <c r="E813" s="3"/>
      <c r="F813" s="3"/>
      <c r="G813" s="3"/>
    </row>
    <row r="814" spans="1:7" ht="12.75">
      <c r="A814" s="3"/>
      <c r="B814" s="85"/>
      <c r="C814" s="8"/>
      <c r="D814" s="3"/>
      <c r="E814" s="3"/>
      <c r="F814" s="3"/>
      <c r="G814" s="3"/>
    </row>
    <row r="815" spans="1:7" ht="12.75">
      <c r="A815" s="3"/>
      <c r="B815" s="85"/>
      <c r="C815" s="8"/>
      <c r="D815" s="3"/>
      <c r="E815" s="3"/>
      <c r="F815" s="3"/>
      <c r="G815" s="3"/>
    </row>
    <row r="816" spans="1:7" ht="12.75">
      <c r="A816" s="3"/>
      <c r="B816" s="85"/>
      <c r="C816" s="8"/>
      <c r="D816" s="3"/>
      <c r="E816" s="3"/>
      <c r="F816" s="3"/>
      <c r="G816" s="3"/>
    </row>
    <row r="817" spans="1:7" ht="12.75">
      <c r="A817" s="3"/>
      <c r="B817" s="85"/>
      <c r="C817" s="8"/>
      <c r="D817" s="3"/>
      <c r="E817" s="3"/>
      <c r="F817" s="3"/>
      <c r="G817" s="3"/>
    </row>
    <row r="818" spans="1:7" ht="12.75">
      <c r="A818" s="3"/>
      <c r="B818" s="85"/>
      <c r="C818" s="8"/>
      <c r="D818" s="3"/>
      <c r="E818" s="3"/>
      <c r="F818" s="3"/>
      <c r="G818" s="3"/>
    </row>
    <row r="819" spans="1:7" ht="12.75">
      <c r="A819" s="3"/>
      <c r="B819" s="85"/>
      <c r="C819" s="8"/>
      <c r="D819" s="3"/>
      <c r="E819" s="3"/>
      <c r="F819" s="3"/>
      <c r="G819" s="3"/>
    </row>
    <row r="820" spans="1:7" ht="12.75">
      <c r="A820" s="3"/>
      <c r="B820" s="85"/>
      <c r="C820" s="8"/>
      <c r="D820" s="3"/>
      <c r="E820" s="3"/>
      <c r="F820" s="3"/>
      <c r="G820" s="3"/>
    </row>
    <row r="821" spans="1:7" ht="12.75">
      <c r="A821" s="3"/>
      <c r="B821" s="85"/>
      <c r="C821" s="8"/>
      <c r="D821" s="3"/>
      <c r="E821" s="3"/>
      <c r="F821" s="3"/>
      <c r="G821" s="3"/>
    </row>
    <row r="822" spans="1:7" ht="12.75">
      <c r="A822" s="3"/>
      <c r="B822" s="85"/>
      <c r="C822" s="8"/>
      <c r="D822" s="3"/>
      <c r="E822" s="3"/>
      <c r="F822" s="3"/>
      <c r="G822" s="3"/>
    </row>
    <row r="823" spans="1:7" ht="12.75">
      <c r="A823" s="3"/>
      <c r="B823" s="85"/>
      <c r="C823" s="8"/>
      <c r="D823" s="3"/>
      <c r="E823" s="3"/>
      <c r="F823" s="3"/>
      <c r="G823" s="3"/>
    </row>
    <row r="824" spans="1:7" ht="12.75">
      <c r="A824" s="3"/>
      <c r="B824" s="85"/>
      <c r="C824" s="8"/>
      <c r="D824" s="3"/>
      <c r="E824" s="3"/>
      <c r="F824" s="3"/>
      <c r="G824" s="3"/>
    </row>
    <row r="825" spans="1:7" ht="12.75">
      <c r="A825" s="3"/>
      <c r="B825" s="85"/>
      <c r="C825" s="8"/>
      <c r="D825" s="3"/>
      <c r="E825" s="3"/>
      <c r="F825" s="3"/>
      <c r="G825" s="3"/>
    </row>
    <row r="826" spans="1:7" ht="12.75">
      <c r="A826" s="3"/>
      <c r="B826" s="85"/>
      <c r="C826" s="8"/>
      <c r="D826" s="3"/>
      <c r="E826" s="3"/>
      <c r="F826" s="3"/>
      <c r="G826" s="3"/>
    </row>
    <row r="827" spans="1:7" ht="12.75">
      <c r="A827" s="3"/>
      <c r="B827" s="85"/>
      <c r="C827" s="8"/>
      <c r="D827" s="3"/>
      <c r="E827" s="3"/>
      <c r="F827" s="3"/>
      <c r="G827" s="3"/>
    </row>
    <row r="828" spans="1:7" ht="12.75">
      <c r="A828" s="3"/>
      <c r="B828" s="85"/>
      <c r="C828" s="8"/>
      <c r="D828" s="3"/>
      <c r="E828" s="3"/>
      <c r="F828" s="3"/>
      <c r="G828" s="3"/>
    </row>
    <row r="829" spans="1:7" ht="12.75">
      <c r="A829" s="3"/>
      <c r="B829" s="85"/>
      <c r="C829" s="8"/>
      <c r="D829" s="3"/>
      <c r="E829" s="3"/>
      <c r="F829" s="3"/>
      <c r="G829" s="3"/>
    </row>
    <row r="830" spans="1:7" ht="12.75">
      <c r="A830" s="3"/>
      <c r="B830" s="85"/>
      <c r="C830" s="8"/>
      <c r="D830" s="3"/>
      <c r="E830" s="3"/>
      <c r="F830" s="3"/>
      <c r="G830" s="3"/>
    </row>
    <row r="831" spans="1:7" ht="12.75">
      <c r="A831" s="3"/>
      <c r="B831" s="85"/>
      <c r="C831" s="8"/>
      <c r="D831" s="3"/>
      <c r="E831" s="3"/>
      <c r="F831" s="3"/>
      <c r="G831" s="3"/>
    </row>
    <row r="832" spans="1:7" ht="12.75">
      <c r="A832" s="3"/>
      <c r="B832" s="85"/>
      <c r="C832" s="8"/>
      <c r="D832" s="3"/>
      <c r="E832" s="3"/>
      <c r="F832" s="3"/>
      <c r="G832" s="3"/>
    </row>
    <row r="833" spans="1:7" ht="12.75">
      <c r="A833" s="3"/>
      <c r="B833" s="85"/>
      <c r="C833" s="8"/>
      <c r="D833" s="3"/>
      <c r="E833" s="3"/>
      <c r="F833" s="3"/>
      <c r="G833" s="3"/>
    </row>
    <row r="834" spans="1:7" ht="12.75">
      <c r="A834" s="3"/>
      <c r="B834" s="85"/>
      <c r="C834" s="8"/>
      <c r="D834" s="3"/>
      <c r="E834" s="3"/>
      <c r="F834" s="3"/>
      <c r="G834" s="3"/>
    </row>
    <row r="835" spans="1:7" ht="12.75">
      <c r="A835" s="3"/>
      <c r="B835" s="85"/>
      <c r="C835" s="8"/>
      <c r="D835" s="3"/>
      <c r="E835" s="3"/>
      <c r="F835" s="3"/>
      <c r="G835" s="3"/>
    </row>
    <row r="836" spans="1:7" ht="12.75">
      <c r="A836" s="3"/>
      <c r="B836" s="85"/>
      <c r="C836" s="8"/>
      <c r="D836" s="3"/>
      <c r="E836" s="3"/>
      <c r="F836" s="3"/>
      <c r="G836" s="3"/>
    </row>
    <row r="837" spans="1:7" ht="12.75">
      <c r="A837" s="3"/>
      <c r="B837" s="85"/>
      <c r="C837" s="8"/>
      <c r="D837" s="3"/>
      <c r="E837" s="3"/>
      <c r="F837" s="3"/>
      <c r="G837" s="3"/>
    </row>
    <row r="838" spans="1:7" ht="12.75">
      <c r="A838" s="3"/>
      <c r="B838" s="85"/>
      <c r="C838" s="8"/>
      <c r="D838" s="3"/>
      <c r="E838" s="3"/>
      <c r="F838" s="3"/>
      <c r="G838" s="3"/>
    </row>
    <row r="839" spans="1:7" ht="12.75">
      <c r="A839" s="3"/>
      <c r="B839" s="85"/>
      <c r="C839" s="8"/>
      <c r="D839" s="3"/>
      <c r="E839" s="3"/>
      <c r="F839" s="3"/>
      <c r="G839" s="3"/>
    </row>
    <row r="840" spans="1:7" ht="12.75">
      <c r="A840" s="3"/>
      <c r="B840" s="85"/>
      <c r="C840" s="8"/>
      <c r="D840" s="3"/>
      <c r="E840" s="3"/>
      <c r="F840" s="3"/>
      <c r="G840" s="3"/>
    </row>
    <row r="841" spans="1:7" ht="12.75">
      <c r="A841" s="3"/>
      <c r="B841" s="85"/>
      <c r="C841" s="8"/>
      <c r="D841" s="3"/>
      <c r="E841" s="3"/>
      <c r="F841" s="3"/>
      <c r="G841" s="3"/>
    </row>
    <row r="842" spans="1:7" ht="12.75">
      <c r="A842" s="3"/>
      <c r="B842" s="85"/>
      <c r="C842" s="8"/>
      <c r="D842" s="3"/>
      <c r="E842" s="3"/>
      <c r="F842" s="3"/>
      <c r="G842" s="3"/>
    </row>
    <row r="843" spans="1:7" ht="12.75">
      <c r="A843" s="3"/>
      <c r="B843" s="85"/>
      <c r="C843" s="8"/>
      <c r="D843" s="3"/>
      <c r="E843" s="3"/>
      <c r="F843" s="3"/>
      <c r="G843" s="3"/>
    </row>
    <row r="844" spans="1:7" ht="12.75">
      <c r="A844" s="3"/>
      <c r="B844" s="85"/>
      <c r="C844" s="8"/>
      <c r="D844" s="3"/>
      <c r="E844" s="3"/>
      <c r="F844" s="3"/>
      <c r="G844" s="3"/>
    </row>
    <row r="845" spans="1:7" ht="12.75">
      <c r="A845" s="3"/>
      <c r="B845" s="85"/>
      <c r="C845" s="8"/>
      <c r="D845" s="3"/>
      <c r="E845" s="3"/>
      <c r="F845" s="3"/>
      <c r="G845" s="3"/>
    </row>
    <row r="846" spans="1:7" ht="12.75">
      <c r="A846" s="3"/>
      <c r="B846" s="85"/>
      <c r="C846" s="8"/>
      <c r="D846" s="3"/>
      <c r="E846" s="3"/>
      <c r="F846" s="3"/>
      <c r="G846" s="3"/>
    </row>
    <row r="847" spans="1:7" ht="12.75">
      <c r="A847" s="3"/>
      <c r="B847" s="85"/>
      <c r="C847" s="8"/>
      <c r="D847" s="3"/>
      <c r="E847" s="3"/>
      <c r="F847" s="3"/>
      <c r="G847" s="3"/>
    </row>
    <row r="848" spans="1:7" ht="12.75">
      <c r="A848" s="3"/>
      <c r="B848" s="85"/>
      <c r="C848" s="8"/>
      <c r="D848" s="3"/>
      <c r="E848" s="3"/>
      <c r="F848" s="3"/>
      <c r="G848" s="3"/>
    </row>
    <row r="849" spans="1:7" ht="12.75">
      <c r="A849" s="3"/>
      <c r="B849" s="85"/>
      <c r="C849" s="8"/>
      <c r="D849" s="3"/>
      <c r="E849" s="3"/>
      <c r="F849" s="3"/>
      <c r="G849" s="3"/>
    </row>
    <row r="850" spans="1:7" ht="12.75">
      <c r="A850" s="3"/>
      <c r="B850" s="85"/>
      <c r="C850" s="8"/>
      <c r="D850" s="3"/>
      <c r="E850" s="3"/>
      <c r="F850" s="3"/>
      <c r="G850" s="3"/>
    </row>
    <row r="851" spans="1:7" ht="12.75">
      <c r="A851" s="3"/>
      <c r="B851" s="85"/>
      <c r="C851" s="8"/>
      <c r="D851" s="3"/>
      <c r="E851" s="3"/>
      <c r="F851" s="3"/>
      <c r="G851" s="3"/>
    </row>
    <row r="852" spans="1:7" ht="12.75">
      <c r="A852" s="3"/>
      <c r="B852" s="85"/>
      <c r="C852" s="8"/>
      <c r="D852" s="3"/>
      <c r="E852" s="3"/>
      <c r="F852" s="3"/>
      <c r="G852" s="3"/>
    </row>
    <row r="853" spans="1:7" ht="12.75">
      <c r="A853" s="3"/>
      <c r="B853" s="85"/>
      <c r="C853" s="8"/>
      <c r="D853" s="3"/>
      <c r="E853" s="3"/>
      <c r="F853" s="3"/>
      <c r="G853" s="3"/>
    </row>
    <row r="854" spans="1:7" ht="12.75">
      <c r="A854" s="3"/>
      <c r="B854" s="85"/>
      <c r="C854" s="8"/>
      <c r="D854" s="3"/>
      <c r="E854" s="3"/>
      <c r="F854" s="3"/>
      <c r="G854" s="3"/>
    </row>
    <row r="855" spans="1:7" ht="12.75">
      <c r="A855" s="3"/>
      <c r="B855" s="85"/>
      <c r="C855" s="8"/>
      <c r="D855" s="3"/>
      <c r="E855" s="3"/>
      <c r="F855" s="3"/>
      <c r="G855" s="3"/>
    </row>
    <row r="856" spans="1:7" ht="12.75">
      <c r="A856" s="3"/>
      <c r="B856" s="85"/>
      <c r="C856" s="8"/>
      <c r="D856" s="3"/>
      <c r="E856" s="3"/>
      <c r="F856" s="3"/>
      <c r="G856" s="3"/>
    </row>
    <row r="857" spans="1:7" ht="12.75">
      <c r="A857" s="3"/>
      <c r="B857" s="85"/>
      <c r="C857" s="8"/>
      <c r="D857" s="3"/>
      <c r="E857" s="3"/>
      <c r="F857" s="3"/>
      <c r="G857" s="3"/>
    </row>
    <row r="858" spans="1:7" ht="12.75">
      <c r="A858" s="3"/>
      <c r="B858" s="85"/>
      <c r="C858" s="8"/>
      <c r="D858" s="3"/>
      <c r="E858" s="3"/>
      <c r="F858" s="3"/>
      <c r="G858" s="3"/>
    </row>
    <row r="859" spans="1:7" ht="12.75">
      <c r="A859" s="3"/>
      <c r="B859" s="85"/>
      <c r="C859" s="8"/>
      <c r="D859" s="3"/>
      <c r="E859" s="3"/>
      <c r="F859" s="3"/>
      <c r="G859" s="3"/>
    </row>
    <row r="860" spans="1:7" ht="12.75">
      <c r="A860" s="3"/>
      <c r="B860" s="85"/>
      <c r="C860" s="8"/>
      <c r="D860" s="3"/>
      <c r="E860" s="3"/>
      <c r="F860" s="3"/>
      <c r="G860" s="3"/>
    </row>
    <row r="861" spans="1:7" ht="12.75">
      <c r="A861" s="3"/>
      <c r="B861" s="85"/>
      <c r="C861" s="8"/>
      <c r="D861" s="3"/>
      <c r="E861" s="3"/>
      <c r="F861" s="3"/>
      <c r="G861" s="3"/>
    </row>
    <row r="862" spans="1:7" ht="12.75">
      <c r="A862" s="3"/>
      <c r="B862" s="85"/>
      <c r="C862" s="8"/>
      <c r="D862" s="3"/>
      <c r="E862" s="3"/>
      <c r="F862" s="3"/>
      <c r="G862" s="3"/>
    </row>
    <row r="863" spans="1:7" ht="12.75">
      <c r="A863" s="3"/>
      <c r="B863" s="85"/>
      <c r="C863" s="8"/>
      <c r="D863" s="3"/>
      <c r="E863" s="3"/>
      <c r="F863" s="3"/>
      <c r="G863" s="3"/>
    </row>
    <row r="864" spans="1:7" ht="12.75">
      <c r="A864" s="3"/>
      <c r="B864" s="85"/>
      <c r="C864" s="8"/>
      <c r="D864" s="3"/>
      <c r="E864" s="3"/>
      <c r="F864" s="3"/>
      <c r="G864" s="3"/>
    </row>
    <row r="865" spans="1:7" ht="12.75">
      <c r="A865" s="3"/>
      <c r="B865" s="85"/>
      <c r="C865" s="8"/>
      <c r="D865" s="3"/>
      <c r="E865" s="3"/>
      <c r="F865" s="3"/>
      <c r="G865" s="3"/>
    </row>
    <row r="866" spans="1:7" ht="12.75">
      <c r="A866" s="3"/>
      <c r="B866" s="85"/>
      <c r="C866" s="8"/>
      <c r="D866" s="3"/>
      <c r="E866" s="3"/>
      <c r="F866" s="3"/>
      <c r="G866" s="3"/>
    </row>
    <row r="867" spans="1:7" ht="12.75">
      <c r="A867" s="3"/>
      <c r="B867" s="85"/>
      <c r="C867" s="8"/>
      <c r="D867" s="3"/>
      <c r="E867" s="3"/>
      <c r="F867" s="3"/>
      <c r="G867" s="3"/>
    </row>
    <row r="868" spans="1:7" ht="12.75">
      <c r="A868" s="3"/>
      <c r="B868" s="85"/>
      <c r="C868" s="8"/>
      <c r="D868" s="3"/>
      <c r="E868" s="3"/>
      <c r="F868" s="3"/>
      <c r="G868" s="3"/>
    </row>
    <row r="869" spans="1:7" ht="12.75">
      <c r="A869" s="3"/>
      <c r="B869" s="85"/>
      <c r="C869" s="8"/>
      <c r="D869" s="3"/>
      <c r="E869" s="3"/>
      <c r="F869" s="3"/>
      <c r="G869" s="3"/>
    </row>
    <row r="870" spans="1:7" ht="12.75">
      <c r="A870" s="3"/>
      <c r="B870" s="85"/>
      <c r="C870" s="8"/>
      <c r="D870" s="3"/>
      <c r="E870" s="3"/>
      <c r="F870" s="3"/>
      <c r="G870" s="3"/>
    </row>
    <row r="871" spans="1:7" ht="12.75">
      <c r="A871" s="3"/>
      <c r="B871" s="85"/>
      <c r="C871" s="8"/>
      <c r="D871" s="3"/>
      <c r="E871" s="3"/>
      <c r="F871" s="3"/>
      <c r="G871" s="3"/>
    </row>
    <row r="872" spans="1:7" ht="12.75">
      <c r="A872" s="3"/>
      <c r="B872" s="85"/>
      <c r="C872" s="8"/>
      <c r="D872" s="3"/>
      <c r="E872" s="3"/>
      <c r="F872" s="3"/>
      <c r="G872" s="3"/>
    </row>
    <row r="873" spans="1:7" ht="12.75">
      <c r="A873" s="3"/>
      <c r="B873" s="85"/>
      <c r="C873" s="8"/>
      <c r="D873" s="3"/>
      <c r="E873" s="3"/>
      <c r="F873" s="3"/>
      <c r="G873" s="3"/>
    </row>
    <row r="874" spans="1:7" ht="12.75">
      <c r="A874" s="3"/>
      <c r="B874" s="85"/>
      <c r="C874" s="8"/>
      <c r="D874" s="3"/>
      <c r="E874" s="3"/>
      <c r="F874" s="3"/>
      <c r="G874" s="3"/>
    </row>
    <row r="875" spans="1:7" ht="12.75">
      <c r="A875" s="3"/>
      <c r="B875" s="85"/>
      <c r="C875" s="8"/>
      <c r="D875" s="3"/>
      <c r="E875" s="3"/>
      <c r="F875" s="3"/>
      <c r="G875" s="3"/>
    </row>
    <row r="876" spans="1:7" ht="12.75">
      <c r="A876" s="3"/>
      <c r="B876" s="85"/>
      <c r="C876" s="8"/>
      <c r="D876" s="3"/>
      <c r="E876" s="3"/>
      <c r="F876" s="3"/>
      <c r="G876" s="3"/>
    </row>
    <row r="877" spans="1:7" ht="12.75">
      <c r="A877" s="3"/>
      <c r="B877" s="85"/>
      <c r="C877" s="8"/>
      <c r="D877" s="3"/>
      <c r="E877" s="3"/>
      <c r="F877" s="3"/>
      <c r="G877" s="3"/>
    </row>
    <row r="878" spans="1:7" ht="12.75">
      <c r="A878" s="3"/>
      <c r="B878" s="85"/>
      <c r="C878" s="8"/>
      <c r="D878" s="3"/>
      <c r="E878" s="3"/>
      <c r="F878" s="3"/>
      <c r="G878" s="3"/>
    </row>
    <row r="879" spans="1:7" ht="12.75">
      <c r="A879" s="3"/>
      <c r="B879" s="85"/>
      <c r="C879" s="8"/>
      <c r="D879" s="3"/>
      <c r="E879" s="3"/>
      <c r="F879" s="3"/>
      <c r="G879" s="3"/>
    </row>
    <row r="880" spans="1:7" ht="12.75">
      <c r="A880" s="3"/>
      <c r="B880" s="85"/>
      <c r="C880" s="8"/>
      <c r="D880" s="3"/>
      <c r="E880" s="3"/>
      <c r="F880" s="3"/>
      <c r="G880" s="3"/>
    </row>
    <row r="881" spans="1:7" ht="12.75">
      <c r="A881" s="3"/>
      <c r="B881" s="85"/>
      <c r="C881" s="8"/>
      <c r="D881" s="3"/>
      <c r="E881" s="3"/>
      <c r="F881" s="3"/>
      <c r="G881" s="3"/>
    </row>
    <row r="882" spans="1:7" ht="12.75">
      <c r="A882" s="3"/>
      <c r="B882" s="85"/>
      <c r="C882" s="8"/>
      <c r="D882" s="3"/>
      <c r="E882" s="3"/>
      <c r="F882" s="3"/>
      <c r="G882" s="3"/>
    </row>
    <row r="883" spans="1:7" ht="12.75">
      <c r="A883" s="3"/>
      <c r="B883" s="85"/>
      <c r="C883" s="8"/>
      <c r="D883" s="3"/>
      <c r="E883" s="3"/>
      <c r="F883" s="3"/>
      <c r="G883" s="3"/>
    </row>
    <row r="884" spans="1:7" ht="12.75">
      <c r="A884" s="3"/>
      <c r="B884" s="85"/>
      <c r="C884" s="8"/>
      <c r="D884" s="3"/>
      <c r="E884" s="3"/>
      <c r="F884" s="3"/>
      <c r="G884" s="3"/>
    </row>
    <row r="885" spans="1:7" ht="12.75">
      <c r="A885" s="3"/>
      <c r="B885" s="85"/>
      <c r="C885" s="8"/>
      <c r="D885" s="3"/>
      <c r="E885" s="3"/>
      <c r="F885" s="3"/>
      <c r="G885" s="3"/>
    </row>
    <row r="886" spans="1:7" ht="12.75">
      <c r="A886" s="3"/>
      <c r="B886" s="85"/>
      <c r="C886" s="8"/>
      <c r="D886" s="3"/>
      <c r="E886" s="3"/>
      <c r="F886" s="3"/>
      <c r="G886" s="3"/>
    </row>
    <row r="887" spans="1:7" ht="12.75">
      <c r="A887" s="3"/>
      <c r="B887" s="85"/>
      <c r="C887" s="8"/>
      <c r="D887" s="3"/>
      <c r="E887" s="3"/>
      <c r="F887" s="3"/>
      <c r="G887" s="3"/>
    </row>
    <row r="888" spans="1:7" ht="12.75">
      <c r="A888" s="3"/>
      <c r="B888" s="85"/>
      <c r="C888" s="8"/>
      <c r="D888" s="3"/>
      <c r="E888" s="3"/>
      <c r="F888" s="3"/>
      <c r="G888" s="3"/>
    </row>
    <row r="889" spans="1:7" ht="12.75">
      <c r="A889" s="3"/>
      <c r="B889" s="85"/>
      <c r="C889" s="8"/>
      <c r="D889" s="3"/>
      <c r="E889" s="3"/>
      <c r="F889" s="3"/>
      <c r="G889" s="3"/>
    </row>
    <row r="890" spans="1:7" ht="12.75">
      <c r="A890" s="3"/>
      <c r="B890" s="85"/>
      <c r="C890" s="8"/>
      <c r="D890" s="3"/>
      <c r="E890" s="3"/>
      <c r="F890" s="3"/>
      <c r="G890" s="3"/>
    </row>
    <row r="891" spans="1:7" ht="12.75">
      <c r="A891" s="3"/>
      <c r="B891" s="85"/>
      <c r="C891" s="8"/>
      <c r="D891" s="3"/>
      <c r="E891" s="3"/>
      <c r="F891" s="3"/>
      <c r="G891" s="3"/>
    </row>
    <row r="892" spans="1:7" ht="12.75">
      <c r="A892" s="3"/>
      <c r="B892" s="85"/>
      <c r="C892" s="8"/>
      <c r="D892" s="3"/>
      <c r="E892" s="3"/>
      <c r="F892" s="3"/>
      <c r="G892" s="3"/>
    </row>
    <row r="893" spans="1:7" ht="12.75">
      <c r="A893" s="3"/>
      <c r="B893" s="85"/>
      <c r="C893" s="8"/>
      <c r="D893" s="3"/>
      <c r="E893" s="3"/>
      <c r="F893" s="3"/>
      <c r="G893" s="3"/>
    </row>
    <row r="894" spans="1:7" ht="12.75">
      <c r="A894" s="3"/>
      <c r="B894" s="85"/>
      <c r="C894" s="8"/>
      <c r="D894" s="3"/>
      <c r="E894" s="3"/>
      <c r="F894" s="3"/>
      <c r="G894" s="3"/>
    </row>
    <row r="895" spans="1:7" ht="12.75">
      <c r="A895" s="3"/>
      <c r="B895" s="85"/>
      <c r="C895" s="8"/>
      <c r="D895" s="3"/>
      <c r="E895" s="3"/>
      <c r="F895" s="3"/>
      <c r="G895" s="3"/>
    </row>
    <row r="896" spans="1:7" ht="12.75">
      <c r="A896" s="3"/>
      <c r="B896" s="85"/>
      <c r="C896" s="8"/>
      <c r="D896" s="3"/>
      <c r="E896" s="3"/>
      <c r="F896" s="3"/>
      <c r="G896" s="3"/>
    </row>
    <row r="897" spans="1:7" ht="12.75">
      <c r="A897" s="3"/>
      <c r="B897" s="85"/>
      <c r="C897" s="8"/>
      <c r="D897" s="3"/>
      <c r="E897" s="3"/>
      <c r="F897" s="3"/>
      <c r="G897" s="3"/>
    </row>
    <row r="898" spans="1:7" ht="12.75">
      <c r="A898" s="3"/>
      <c r="B898" s="85"/>
      <c r="C898" s="8"/>
      <c r="D898" s="3"/>
      <c r="E898" s="3"/>
      <c r="F898" s="3"/>
      <c r="G898" s="3"/>
    </row>
    <row r="899" spans="1:7" ht="12.75">
      <c r="A899" s="3"/>
      <c r="B899" s="85"/>
      <c r="C899" s="8"/>
      <c r="D899" s="3"/>
      <c r="E899" s="3"/>
      <c r="F899" s="3"/>
      <c r="G899" s="3"/>
    </row>
    <row r="900" spans="1:7" ht="12.75">
      <c r="A900" s="3"/>
      <c r="B900" s="85"/>
      <c r="C900" s="8"/>
      <c r="D900" s="3"/>
      <c r="E900" s="3"/>
      <c r="F900" s="3"/>
      <c r="G900" s="3"/>
    </row>
    <row r="901" spans="1:7" ht="12.75">
      <c r="A901" s="3"/>
      <c r="B901" s="85"/>
      <c r="C901" s="8"/>
      <c r="D901" s="3"/>
      <c r="E901" s="3"/>
      <c r="F901" s="3"/>
      <c r="G901" s="3"/>
    </row>
    <row r="902" spans="1:7" ht="12.75">
      <c r="A902" s="3"/>
      <c r="B902" s="85"/>
      <c r="C902" s="8"/>
      <c r="D902" s="3"/>
      <c r="E902" s="3"/>
      <c r="F902" s="3"/>
      <c r="G902" s="3"/>
    </row>
    <row r="903" spans="1:7" ht="12.75">
      <c r="A903" s="3"/>
      <c r="B903" s="85"/>
      <c r="C903" s="8"/>
      <c r="D903" s="3"/>
      <c r="E903" s="3"/>
      <c r="F903" s="3"/>
      <c r="G903" s="3"/>
    </row>
    <row r="904" spans="1:7" ht="12.75">
      <c r="A904" s="3"/>
      <c r="B904" s="85"/>
      <c r="C904" s="8"/>
      <c r="D904" s="3"/>
      <c r="E904" s="3"/>
      <c r="F904" s="3"/>
      <c r="G904" s="3"/>
    </row>
    <row r="905" spans="1:7" ht="12.75">
      <c r="A905" s="3"/>
      <c r="B905" s="85"/>
      <c r="C905" s="8"/>
      <c r="D905" s="3"/>
      <c r="E905" s="3"/>
      <c r="F905" s="3"/>
      <c r="G905" s="3"/>
    </row>
    <row r="906" spans="1:7" ht="12.75">
      <c r="A906" s="3"/>
      <c r="B906" s="85"/>
      <c r="C906" s="8"/>
      <c r="D906" s="3"/>
      <c r="E906" s="3"/>
      <c r="F906" s="3"/>
      <c r="G906" s="3"/>
    </row>
    <row r="907" spans="1:7" ht="12.75">
      <c r="A907" s="3"/>
      <c r="B907" s="85"/>
      <c r="C907" s="8"/>
      <c r="D907" s="3"/>
      <c r="E907" s="3"/>
      <c r="F907" s="3"/>
      <c r="G907" s="3"/>
    </row>
    <row r="908" spans="1:7" ht="12.75">
      <c r="A908" s="3"/>
      <c r="B908" s="85"/>
      <c r="C908" s="8"/>
      <c r="D908" s="3"/>
      <c r="E908" s="3"/>
      <c r="F908" s="3"/>
      <c r="G908" s="3"/>
    </row>
    <row r="909" spans="1:7" ht="12.75">
      <c r="A909" s="3"/>
      <c r="B909" s="85"/>
      <c r="C909" s="8"/>
      <c r="D909" s="3"/>
      <c r="E909" s="3"/>
      <c r="F909" s="3"/>
      <c r="G909" s="3"/>
    </row>
    <row r="910" spans="1:7" ht="12.75">
      <c r="A910" s="3"/>
      <c r="B910" s="85"/>
      <c r="C910" s="8"/>
      <c r="D910" s="3"/>
      <c r="E910" s="3"/>
      <c r="F910" s="3"/>
      <c r="G910" s="3"/>
    </row>
    <row r="911" spans="1:7" ht="12.75">
      <c r="A911" s="3"/>
      <c r="B911" s="85"/>
      <c r="C911" s="8"/>
      <c r="D911" s="3"/>
      <c r="E911" s="3"/>
      <c r="F911" s="3"/>
      <c r="G911" s="3"/>
    </row>
    <row r="912" spans="1:7" ht="12.75">
      <c r="A912" s="3"/>
      <c r="B912" s="85"/>
      <c r="C912" s="8"/>
      <c r="D912" s="3"/>
      <c r="E912" s="3"/>
      <c r="F912" s="3"/>
      <c r="G912" s="3"/>
    </row>
    <row r="913" spans="1:7" ht="12.75">
      <c r="A913" s="3"/>
      <c r="B913" s="85"/>
      <c r="C913" s="8"/>
      <c r="D913" s="3"/>
      <c r="E913" s="3"/>
      <c r="F913" s="3"/>
      <c r="G913" s="3"/>
    </row>
    <row r="914" spans="1:7" ht="12.75">
      <c r="A914" s="3"/>
      <c r="B914" s="85"/>
      <c r="C914" s="8"/>
      <c r="D914" s="3"/>
      <c r="E914" s="3"/>
      <c r="F914" s="3"/>
      <c r="G914" s="3"/>
    </row>
    <row r="915" spans="1:7" ht="12.75">
      <c r="A915" s="3"/>
      <c r="B915" s="85"/>
      <c r="C915" s="8"/>
      <c r="D915" s="3"/>
      <c r="E915" s="3"/>
      <c r="F915" s="3"/>
      <c r="G915" s="3"/>
    </row>
    <row r="916" spans="1:7" ht="12.75">
      <c r="A916" s="3"/>
      <c r="B916" s="85"/>
      <c r="C916" s="8"/>
      <c r="D916" s="3"/>
      <c r="E916" s="3"/>
      <c r="F916" s="3"/>
      <c r="G916" s="3"/>
    </row>
    <row r="917" spans="1:7" ht="12.75">
      <c r="A917" s="3"/>
      <c r="B917" s="85"/>
      <c r="C917" s="8"/>
      <c r="D917" s="3"/>
      <c r="E917" s="3"/>
      <c r="F917" s="3"/>
      <c r="G917" s="3"/>
    </row>
    <row r="918" spans="1:7" ht="12.75">
      <c r="A918" s="3"/>
      <c r="B918" s="85"/>
      <c r="C918" s="8"/>
      <c r="D918" s="3"/>
      <c r="E918" s="3"/>
      <c r="F918" s="3"/>
      <c r="G918" s="3"/>
    </row>
    <row r="919" spans="1:7" ht="12.75">
      <c r="A919" s="3"/>
      <c r="B919" s="85"/>
      <c r="C919" s="8"/>
      <c r="D919" s="3"/>
      <c r="E919" s="3"/>
      <c r="F919" s="3"/>
      <c r="G919" s="3"/>
    </row>
    <row r="920" spans="1:7" ht="12.75">
      <c r="A920" s="3"/>
      <c r="B920" s="85"/>
      <c r="C920" s="8"/>
      <c r="D920" s="3"/>
      <c r="E920" s="3"/>
      <c r="F920" s="3"/>
      <c r="G920" s="3"/>
    </row>
    <row r="921" spans="1:7" ht="12.75">
      <c r="A921" s="3"/>
      <c r="B921" s="85"/>
      <c r="C921" s="8"/>
      <c r="D921" s="3"/>
      <c r="E921" s="3"/>
      <c r="F921" s="3"/>
      <c r="G921" s="3"/>
    </row>
    <row r="922" spans="1:7" ht="12.75">
      <c r="A922" s="3"/>
      <c r="B922" s="85"/>
      <c r="C922" s="8"/>
      <c r="D922" s="3"/>
      <c r="E922" s="3"/>
      <c r="F922" s="3"/>
      <c r="G922" s="3"/>
    </row>
    <row r="923" spans="1:7" ht="12.75">
      <c r="A923" s="3"/>
      <c r="B923" s="85"/>
      <c r="C923" s="8"/>
      <c r="D923" s="3"/>
      <c r="E923" s="3"/>
      <c r="F923" s="3"/>
      <c r="G923" s="3"/>
    </row>
    <row r="924" spans="1:7" ht="12.75">
      <c r="A924" s="3"/>
      <c r="B924" s="85"/>
      <c r="C924" s="8"/>
      <c r="D924" s="3"/>
      <c r="E924" s="3"/>
      <c r="F924" s="3"/>
      <c r="G924" s="3"/>
    </row>
    <row r="925" spans="1:7" ht="12.75">
      <c r="A925" s="3"/>
      <c r="B925" s="85"/>
      <c r="C925" s="8"/>
      <c r="D925" s="3"/>
      <c r="E925" s="3"/>
      <c r="F925" s="3"/>
      <c r="G925" s="3"/>
    </row>
    <row r="926" spans="1:7" ht="12.75">
      <c r="A926" s="3"/>
      <c r="B926" s="85"/>
      <c r="C926" s="8"/>
      <c r="D926" s="3"/>
      <c r="E926" s="3"/>
      <c r="F926" s="3"/>
      <c r="G926" s="3"/>
    </row>
    <row r="927" spans="1:7" ht="12.75">
      <c r="A927" s="3"/>
      <c r="B927" s="85"/>
      <c r="C927" s="8"/>
      <c r="D927" s="3"/>
      <c r="E927" s="3"/>
      <c r="F927" s="3"/>
      <c r="G927" s="3"/>
    </row>
    <row r="928" spans="1:7" ht="12.75">
      <c r="A928" s="3"/>
      <c r="B928" s="85"/>
      <c r="C928" s="8"/>
      <c r="D928" s="3"/>
      <c r="E928" s="3"/>
      <c r="F928" s="3"/>
      <c r="G928" s="3"/>
    </row>
    <row r="929" spans="1:7" ht="12.75">
      <c r="A929" s="3"/>
      <c r="B929" s="85"/>
      <c r="C929" s="8"/>
      <c r="D929" s="3"/>
      <c r="E929" s="3"/>
      <c r="F929" s="3"/>
      <c r="G929" s="3"/>
    </row>
    <row r="930" spans="1:7" ht="12.75">
      <c r="A930" s="3"/>
      <c r="B930" s="85"/>
      <c r="C930" s="8"/>
      <c r="D930" s="3"/>
      <c r="E930" s="3"/>
      <c r="F930" s="3"/>
      <c r="G930" s="3"/>
    </row>
    <row r="931" spans="1:7" ht="12.75">
      <c r="A931" s="3"/>
      <c r="B931" s="85"/>
      <c r="C931" s="8"/>
      <c r="D931" s="3"/>
      <c r="E931" s="3"/>
      <c r="F931" s="3"/>
      <c r="G931" s="3"/>
    </row>
    <row r="932" spans="1:7" ht="12.75">
      <c r="A932" s="3"/>
      <c r="B932" s="85"/>
      <c r="C932" s="8"/>
      <c r="D932" s="3"/>
      <c r="E932" s="3"/>
      <c r="F932" s="3"/>
      <c r="G932" s="3"/>
    </row>
    <row r="933" spans="1:7" ht="12.75">
      <c r="A933" s="3"/>
      <c r="B933" s="85"/>
      <c r="C933" s="8"/>
      <c r="D933" s="3"/>
      <c r="E933" s="3"/>
      <c r="F933" s="3"/>
      <c r="G933" s="3"/>
    </row>
    <row r="934" spans="1:7" ht="12.75">
      <c r="A934" s="3"/>
      <c r="B934" s="85"/>
      <c r="C934" s="8"/>
      <c r="D934" s="3"/>
      <c r="E934" s="3"/>
      <c r="F934" s="3"/>
      <c r="G934" s="3"/>
    </row>
    <row r="935" spans="1:7" ht="12.75">
      <c r="A935" s="3"/>
      <c r="B935" s="85"/>
      <c r="C935" s="8"/>
      <c r="D935" s="3"/>
      <c r="E935" s="3"/>
      <c r="F935" s="3"/>
      <c r="G935" s="3"/>
    </row>
    <row r="936" spans="1:7" ht="12.75">
      <c r="A936" s="3"/>
      <c r="B936" s="85"/>
      <c r="C936" s="8"/>
      <c r="D936" s="3"/>
      <c r="E936" s="3"/>
      <c r="F936" s="3"/>
      <c r="G936" s="3"/>
    </row>
    <row r="937" spans="1:7" ht="12.75">
      <c r="A937" s="3"/>
      <c r="B937" s="85"/>
      <c r="C937" s="8"/>
      <c r="D937" s="3"/>
      <c r="E937" s="3"/>
      <c r="F937" s="3"/>
      <c r="G937" s="3"/>
    </row>
    <row r="938" spans="1:7" ht="12.75">
      <c r="A938" s="3"/>
      <c r="B938" s="85"/>
      <c r="C938" s="8"/>
      <c r="D938" s="3"/>
      <c r="E938" s="3"/>
      <c r="F938" s="3"/>
      <c r="G938" s="3"/>
    </row>
    <row r="939" spans="1:7" ht="12.75">
      <c r="A939" s="3"/>
      <c r="B939" s="85"/>
      <c r="C939" s="8"/>
      <c r="D939" s="3"/>
      <c r="E939" s="3"/>
      <c r="F939" s="3"/>
      <c r="G939" s="3"/>
    </row>
    <row r="940" spans="1:7" ht="12.75">
      <c r="A940" s="3"/>
      <c r="B940" s="85"/>
      <c r="C940" s="8"/>
      <c r="D940" s="3"/>
      <c r="E940" s="3"/>
      <c r="F940" s="3"/>
      <c r="G940" s="3"/>
    </row>
    <row r="941" spans="1:7" ht="12.75">
      <c r="A941" s="3"/>
      <c r="B941" s="85"/>
      <c r="C941" s="8"/>
      <c r="D941" s="3"/>
      <c r="E941" s="3"/>
      <c r="F941" s="3"/>
      <c r="G941" s="3"/>
    </row>
  </sheetData>
  <mergeCells count="1">
    <mergeCell ref="A33:B33"/>
  </mergeCells>
  <conditionalFormatting sqref="B2:B7">
    <cfRule type="notContainsBlanks" dxfId="0" priority="1">
      <formula>LEN(TRIM(B2))&gt;0</formula>
    </cfRule>
  </conditionalFormatting>
  <dataValidations count="8">
    <dataValidation type="list" allowBlank="1" sqref="B54">
      <formula1>FROPTcontroldata</formula1>
    </dataValidation>
    <dataValidation type="list" allowBlank="1" sqref="B41 B43 B45 B47">
      <formula1>FROPTimpact</formula1>
    </dataValidation>
    <dataValidation type="list" allowBlank="1" sqref="B38">
      <formula1>FROPTreversible</formula1>
    </dataValidation>
    <dataValidation type="list" allowBlank="1" sqref="B62">
      <formula1>FROPTunstructdata</formula1>
    </dataValidation>
    <dataValidation type="list" allowBlank="1" sqref="B58:B59">
      <formula1>FROPTsourcedata</formula1>
    </dataValidation>
    <dataValidation type="list" allowBlank="1" sqref="B53">
      <formula1>FROPTsecurityclass</formula1>
    </dataValidation>
    <dataValidation type="list" allowBlank="1" sqref="B39">
      <formula1>FROPTduration</formula1>
    </dataValidation>
    <dataValidation type="list" allowBlank="1" showInputMessage="1" showErrorMessage="1" sqref="B10:B15 B19:B23 B27:B31 B35 B37 B52 B55:B57 B61 B67:B72 B74:B85">
      <formula1>"VRAI, FAUX"</formula1>
    </dataValidation>
  </dataValidations>
  <pageMargins left="0.7" right="0.7" top="0.75" bottom="0.75" header="0.3" footer="0.3"/>
  <pageSetup orientation="portrait" r:id="rId1"/>
  <headerFooter differentOddEven="1" differentFirs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F962"/>
  <sheetViews>
    <sheetView topLeftCell="A10" workbookViewId="0">
      <selection activeCell="A35" sqref="A35"/>
    </sheetView>
  </sheetViews>
  <sheetFormatPr defaultColWidth="14.42578125" defaultRowHeight="15.75" customHeight="1"/>
  <cols>
    <col min="1" max="2" width="45.140625" customWidth="1"/>
    <col min="3" max="3" width="10.7109375" customWidth="1"/>
    <col min="4" max="5" width="20.42578125" customWidth="1"/>
    <col min="6" max="6" width="32" customWidth="1"/>
    <col min="7" max="7" width="47.140625" customWidth="1"/>
    <col min="8" max="8" width="32.7109375" customWidth="1"/>
    <col min="9" max="9" width="15.28515625" customWidth="1"/>
  </cols>
  <sheetData>
    <row r="1" spans="1:32" ht="15.75" customHeight="1">
      <c r="A1" s="9" t="s">
        <v>4</v>
      </c>
      <c r="B1" s="9" t="s">
        <v>6</v>
      </c>
      <c r="C1" s="11" t="s">
        <v>7</v>
      </c>
      <c r="D1" s="9" t="s">
        <v>12</v>
      </c>
      <c r="E1" s="9" t="s">
        <v>13</v>
      </c>
      <c r="F1" s="9" t="s">
        <v>14</v>
      </c>
      <c r="G1" s="9" t="s">
        <v>15</v>
      </c>
      <c r="H1" s="9" t="s">
        <v>17</v>
      </c>
      <c r="I1" s="12"/>
      <c r="J1" s="12"/>
      <c r="K1" s="12"/>
      <c r="L1" s="12"/>
      <c r="M1" s="12"/>
      <c r="N1" s="14"/>
      <c r="O1" s="14"/>
      <c r="P1" s="14"/>
      <c r="Q1" s="14"/>
      <c r="R1" s="14"/>
      <c r="S1" s="14"/>
      <c r="T1" s="14"/>
      <c r="U1" s="14"/>
      <c r="V1" s="14"/>
      <c r="W1" s="14"/>
      <c r="X1" s="14"/>
      <c r="Y1" s="14"/>
      <c r="Z1" s="14"/>
      <c r="AA1" s="14"/>
      <c r="AB1" s="14"/>
      <c r="AC1" s="14"/>
      <c r="AD1" s="14"/>
      <c r="AE1" s="14"/>
      <c r="AF1" s="14"/>
    </row>
    <row r="2" spans="1:32" ht="15.75" customHeight="1">
      <c r="A2" s="16" t="s">
        <v>23</v>
      </c>
      <c r="B2" s="16" t="s">
        <v>33</v>
      </c>
      <c r="C2" s="18">
        <v>1</v>
      </c>
      <c r="D2" s="21" t="str">
        <f>CONCATENATE("FR",E2)</f>
        <v>FROPTreversible</v>
      </c>
      <c r="E2" s="21" t="s">
        <v>45</v>
      </c>
      <c r="F2" s="21" t="s">
        <v>46</v>
      </c>
      <c r="G2" s="22" t="s">
        <v>48</v>
      </c>
      <c r="H2" s="23" t="s">
        <v>52</v>
      </c>
      <c r="I2" s="5"/>
      <c r="J2" s="5"/>
      <c r="K2" s="5"/>
      <c r="L2" s="5"/>
      <c r="M2" s="5"/>
      <c r="N2" s="24"/>
      <c r="O2" s="24"/>
      <c r="P2" s="24"/>
      <c r="Q2" s="24"/>
      <c r="R2" s="24"/>
      <c r="S2" s="24"/>
      <c r="T2" s="24"/>
      <c r="U2" s="24"/>
      <c r="V2" s="24"/>
      <c r="W2" s="24"/>
      <c r="X2" s="24"/>
      <c r="Y2" s="24"/>
      <c r="Z2" s="24"/>
      <c r="AA2" s="24"/>
      <c r="AB2" s="24"/>
      <c r="AC2" s="24"/>
      <c r="AD2" s="24"/>
      <c r="AE2" s="24"/>
      <c r="AF2" s="24"/>
    </row>
    <row r="3" spans="1:32" ht="15.75" customHeight="1">
      <c r="A3" s="16" t="s">
        <v>62</v>
      </c>
      <c r="B3" s="16" t="s">
        <v>64</v>
      </c>
      <c r="C3" s="18">
        <v>2</v>
      </c>
      <c r="D3" s="21" t="str">
        <f>CONCATENATE("FR",E3)</f>
        <v>FROPTreversible</v>
      </c>
      <c r="E3" s="21" t="s">
        <v>45</v>
      </c>
      <c r="F3" s="21" t="s">
        <v>46</v>
      </c>
      <c r="G3" s="23"/>
      <c r="H3" s="5"/>
      <c r="I3" s="5"/>
      <c r="J3" s="5"/>
      <c r="K3" s="5"/>
      <c r="L3" s="5"/>
      <c r="M3" s="5"/>
      <c r="N3" s="24"/>
      <c r="O3" s="24"/>
      <c r="P3" s="24"/>
      <c r="Q3" s="24"/>
      <c r="R3" s="24"/>
      <c r="S3" s="24"/>
      <c r="T3" s="24"/>
      <c r="U3" s="24"/>
      <c r="V3" s="24"/>
      <c r="W3" s="24"/>
      <c r="X3" s="24"/>
      <c r="Y3" s="24"/>
      <c r="Z3" s="24"/>
      <c r="AA3" s="24"/>
      <c r="AB3" s="24"/>
      <c r="AC3" s="24"/>
      <c r="AD3" s="24"/>
      <c r="AE3" s="24"/>
      <c r="AF3" s="24"/>
    </row>
    <row r="4" spans="1:32" ht="15.75" customHeight="1">
      <c r="A4" s="16" t="s">
        <v>66</v>
      </c>
      <c r="B4" s="16" t="s">
        <v>67</v>
      </c>
      <c r="C4" s="18">
        <v>3</v>
      </c>
      <c r="D4" s="21" t="str">
        <f t="shared" ref="D4:D28" si="0">CONCATENATE("FR",E4)</f>
        <v>FROPTreversible</v>
      </c>
      <c r="E4" s="21" t="s">
        <v>45</v>
      </c>
      <c r="F4" s="21" t="s">
        <v>46</v>
      </c>
      <c r="G4" s="23"/>
      <c r="H4" s="5"/>
      <c r="I4" s="5"/>
      <c r="J4" s="5"/>
      <c r="K4" s="5"/>
      <c r="L4" s="5"/>
      <c r="M4" s="5"/>
      <c r="N4" s="24"/>
      <c r="O4" s="24"/>
      <c r="P4" s="24"/>
      <c r="Q4" s="24"/>
      <c r="R4" s="24"/>
      <c r="S4" s="24"/>
      <c r="T4" s="24"/>
      <c r="U4" s="24"/>
      <c r="V4" s="24"/>
      <c r="W4" s="24"/>
      <c r="X4" s="24"/>
      <c r="Y4" s="24"/>
      <c r="Z4" s="24"/>
      <c r="AA4" s="24"/>
      <c r="AB4" s="24"/>
      <c r="AC4" s="24"/>
      <c r="AD4" s="24"/>
      <c r="AE4" s="24"/>
      <c r="AF4" s="24"/>
    </row>
    <row r="5" spans="1:32" ht="15.75" customHeight="1">
      <c r="A5" s="16" t="s">
        <v>69</v>
      </c>
      <c r="B5" s="16" t="s">
        <v>70</v>
      </c>
      <c r="C5" s="18">
        <v>4</v>
      </c>
      <c r="D5" s="21" t="str">
        <f t="shared" si="0"/>
        <v>FROPTreversible</v>
      </c>
      <c r="E5" s="21" t="s">
        <v>45</v>
      </c>
      <c r="F5" s="21" t="s">
        <v>46</v>
      </c>
      <c r="G5" s="23"/>
      <c r="H5" s="5"/>
      <c r="I5" s="5"/>
      <c r="J5" s="5"/>
      <c r="K5" s="5"/>
      <c r="L5" s="5"/>
      <c r="M5" s="5"/>
      <c r="N5" s="24"/>
      <c r="O5" s="24"/>
      <c r="P5" s="24"/>
      <c r="Q5" s="24"/>
      <c r="R5" s="24"/>
      <c r="S5" s="24"/>
      <c r="T5" s="24"/>
      <c r="U5" s="24"/>
      <c r="V5" s="24"/>
      <c r="W5" s="24"/>
      <c r="X5" s="24"/>
      <c r="Y5" s="24"/>
      <c r="Z5" s="24"/>
      <c r="AA5" s="24"/>
      <c r="AB5" s="24"/>
      <c r="AC5" s="24"/>
      <c r="AD5" s="24"/>
      <c r="AE5" s="24"/>
      <c r="AF5" s="24"/>
    </row>
    <row r="6" spans="1:32" ht="15.75" customHeight="1">
      <c r="A6" s="26" t="s">
        <v>73</v>
      </c>
      <c r="B6" s="26" t="s">
        <v>78</v>
      </c>
      <c r="C6" s="27">
        <v>1</v>
      </c>
      <c r="D6" s="21" t="str">
        <f t="shared" si="0"/>
        <v>FROPTduration</v>
      </c>
      <c r="E6" s="28" t="s">
        <v>82</v>
      </c>
      <c r="F6" s="28" t="s">
        <v>85</v>
      </c>
      <c r="G6" s="23"/>
      <c r="H6" s="5"/>
      <c r="I6" s="5"/>
      <c r="J6" s="5"/>
      <c r="K6" s="5"/>
      <c r="L6" s="5"/>
      <c r="M6" s="5"/>
      <c r="N6" s="24"/>
      <c r="O6" s="24"/>
      <c r="P6" s="24"/>
      <c r="Q6" s="24"/>
      <c r="R6" s="24"/>
      <c r="S6" s="24"/>
      <c r="T6" s="24"/>
      <c r="U6" s="24"/>
      <c r="V6" s="24"/>
      <c r="W6" s="24"/>
      <c r="X6" s="24"/>
      <c r="Y6" s="24"/>
      <c r="Z6" s="24"/>
      <c r="AA6" s="24"/>
      <c r="AB6" s="24"/>
      <c r="AC6" s="24"/>
      <c r="AD6" s="24"/>
      <c r="AE6" s="24"/>
      <c r="AF6" s="24"/>
    </row>
    <row r="7" spans="1:32" ht="15.75" customHeight="1">
      <c r="A7" s="26" t="s">
        <v>86</v>
      </c>
      <c r="B7" s="26" t="s">
        <v>87</v>
      </c>
      <c r="C7" s="27">
        <v>2</v>
      </c>
      <c r="D7" s="21" t="str">
        <f t="shared" si="0"/>
        <v>FROPTduration</v>
      </c>
      <c r="E7" s="28" t="s">
        <v>82</v>
      </c>
      <c r="F7" s="28" t="s">
        <v>85</v>
      </c>
      <c r="G7" s="23"/>
      <c r="H7" s="5"/>
      <c r="I7" s="5"/>
      <c r="J7" s="5"/>
      <c r="K7" s="5"/>
      <c r="L7" s="5"/>
      <c r="M7" s="5"/>
      <c r="N7" s="24"/>
      <c r="O7" s="24"/>
      <c r="P7" s="24"/>
      <c r="Q7" s="24"/>
      <c r="R7" s="24"/>
      <c r="S7" s="24"/>
      <c r="T7" s="24"/>
      <c r="U7" s="24"/>
      <c r="V7" s="24"/>
      <c r="W7" s="24"/>
      <c r="X7" s="24"/>
      <c r="Y7" s="24"/>
      <c r="Z7" s="24"/>
      <c r="AA7" s="24"/>
      <c r="AB7" s="24"/>
      <c r="AC7" s="24"/>
      <c r="AD7" s="24"/>
      <c r="AE7" s="24"/>
      <c r="AF7" s="24"/>
    </row>
    <row r="8" spans="1:32" ht="15.75" customHeight="1">
      <c r="A8" s="26" t="s">
        <v>89</v>
      </c>
      <c r="B8" s="26" t="s">
        <v>90</v>
      </c>
      <c r="C8" s="27">
        <v>3</v>
      </c>
      <c r="D8" s="21" t="str">
        <f t="shared" si="0"/>
        <v>FROPTduration</v>
      </c>
      <c r="E8" s="28" t="s">
        <v>82</v>
      </c>
      <c r="F8" s="28" t="s">
        <v>85</v>
      </c>
      <c r="G8" s="23"/>
      <c r="H8" s="5"/>
      <c r="I8" s="5"/>
      <c r="J8" s="5"/>
      <c r="K8" s="5"/>
      <c r="L8" s="5"/>
      <c r="M8" s="5"/>
      <c r="N8" s="24"/>
      <c r="O8" s="24"/>
      <c r="P8" s="24"/>
      <c r="Q8" s="24"/>
      <c r="R8" s="24"/>
      <c r="S8" s="24"/>
      <c r="T8" s="24"/>
      <c r="U8" s="24"/>
      <c r="V8" s="24"/>
      <c r="W8" s="24"/>
      <c r="X8" s="24"/>
      <c r="Y8" s="24"/>
      <c r="Z8" s="24"/>
      <c r="AA8" s="24"/>
      <c r="AB8" s="24"/>
      <c r="AC8" s="24"/>
      <c r="AD8" s="24"/>
      <c r="AE8" s="24"/>
      <c r="AF8" s="24"/>
    </row>
    <row r="9" spans="1:32" ht="15.75" customHeight="1">
      <c r="A9" s="26" t="s">
        <v>93</v>
      </c>
      <c r="B9" s="26" t="s">
        <v>94</v>
      </c>
      <c r="C9" s="27">
        <v>4</v>
      </c>
      <c r="D9" s="21" t="str">
        <f t="shared" si="0"/>
        <v>FROPTduration</v>
      </c>
      <c r="E9" s="28" t="s">
        <v>82</v>
      </c>
      <c r="F9" s="28" t="s">
        <v>85</v>
      </c>
      <c r="G9" s="23"/>
      <c r="H9" s="5"/>
      <c r="I9" s="5"/>
      <c r="J9" s="5"/>
      <c r="K9" s="5"/>
      <c r="L9" s="5"/>
      <c r="M9" s="5"/>
      <c r="N9" s="24"/>
      <c r="O9" s="24"/>
      <c r="P9" s="24"/>
      <c r="Q9" s="24"/>
      <c r="R9" s="24"/>
      <c r="S9" s="24"/>
      <c r="T9" s="24"/>
      <c r="U9" s="24"/>
      <c r="V9" s="24"/>
      <c r="W9" s="24"/>
      <c r="X9" s="24"/>
      <c r="Y9" s="24"/>
      <c r="Z9" s="24"/>
      <c r="AA9" s="24"/>
      <c r="AB9" s="24"/>
      <c r="AC9" s="24"/>
      <c r="AD9" s="24"/>
      <c r="AE9" s="24"/>
      <c r="AF9" s="24"/>
    </row>
    <row r="10" spans="1:32" ht="15.75" customHeight="1">
      <c r="A10" s="32" t="s">
        <v>101</v>
      </c>
      <c r="B10" s="32" t="s">
        <v>104</v>
      </c>
      <c r="C10" s="34">
        <v>1</v>
      </c>
      <c r="D10" s="21" t="str">
        <f t="shared" si="0"/>
        <v>FROPTimpact</v>
      </c>
      <c r="E10" s="16" t="s">
        <v>106</v>
      </c>
      <c r="F10" s="16" t="s">
        <v>107</v>
      </c>
      <c r="G10" s="23"/>
      <c r="H10" s="5"/>
      <c r="I10" s="5"/>
      <c r="J10" s="5"/>
      <c r="K10" s="5"/>
      <c r="L10" s="5"/>
      <c r="M10" s="5"/>
      <c r="N10" s="24"/>
      <c r="O10" s="24"/>
      <c r="P10" s="24"/>
      <c r="Q10" s="24"/>
      <c r="R10" s="24"/>
      <c r="S10" s="24"/>
      <c r="T10" s="24"/>
      <c r="U10" s="24"/>
      <c r="V10" s="24"/>
      <c r="W10" s="24"/>
      <c r="X10" s="24"/>
      <c r="Y10" s="24"/>
      <c r="Z10" s="24"/>
      <c r="AA10" s="24"/>
      <c r="AB10" s="24"/>
      <c r="AC10" s="24"/>
      <c r="AD10" s="24"/>
      <c r="AE10" s="24"/>
      <c r="AF10" s="24"/>
    </row>
    <row r="11" spans="1:32" ht="15.75" customHeight="1">
      <c r="A11" s="32" t="s">
        <v>108</v>
      </c>
      <c r="B11" s="32" t="s">
        <v>109</v>
      </c>
      <c r="C11" s="34">
        <v>2</v>
      </c>
      <c r="D11" s="21" t="str">
        <f t="shared" si="0"/>
        <v>FROPTimpact</v>
      </c>
      <c r="E11" s="16" t="s">
        <v>106</v>
      </c>
      <c r="F11" s="16" t="s">
        <v>107</v>
      </c>
      <c r="G11" s="23"/>
      <c r="H11" s="5"/>
      <c r="I11" s="5"/>
      <c r="J11" s="5"/>
      <c r="K11" s="5"/>
      <c r="L11" s="5"/>
      <c r="M11" s="5"/>
      <c r="N11" s="24"/>
      <c r="O11" s="24"/>
      <c r="P11" s="24"/>
      <c r="Q11" s="24"/>
      <c r="R11" s="24"/>
      <c r="S11" s="24"/>
      <c r="T11" s="24"/>
      <c r="U11" s="24"/>
      <c r="V11" s="24"/>
      <c r="W11" s="24"/>
      <c r="X11" s="24"/>
      <c r="Y11" s="24"/>
      <c r="Z11" s="24"/>
      <c r="AA11" s="24"/>
      <c r="AB11" s="24"/>
      <c r="AC11" s="24"/>
      <c r="AD11" s="24"/>
      <c r="AE11" s="24"/>
      <c r="AF11" s="24"/>
    </row>
    <row r="12" spans="1:32" ht="15.75" customHeight="1">
      <c r="A12" s="32" t="s">
        <v>111</v>
      </c>
      <c r="B12" s="32" t="s">
        <v>112</v>
      </c>
      <c r="C12" s="34">
        <v>3</v>
      </c>
      <c r="D12" s="21" t="str">
        <f t="shared" si="0"/>
        <v>FROPTimpact</v>
      </c>
      <c r="E12" s="16" t="s">
        <v>106</v>
      </c>
      <c r="F12" s="16" t="s">
        <v>107</v>
      </c>
      <c r="G12" s="23"/>
      <c r="H12" s="5"/>
      <c r="I12" s="5"/>
      <c r="J12" s="5"/>
      <c r="K12" s="5"/>
      <c r="L12" s="5"/>
      <c r="M12" s="5"/>
      <c r="N12" s="24"/>
      <c r="O12" s="24"/>
      <c r="P12" s="24"/>
      <c r="Q12" s="24"/>
      <c r="R12" s="24"/>
      <c r="S12" s="24"/>
      <c r="T12" s="24"/>
      <c r="U12" s="24"/>
      <c r="V12" s="24"/>
      <c r="W12" s="24"/>
      <c r="X12" s="24"/>
      <c r="Y12" s="24"/>
      <c r="Z12" s="24"/>
      <c r="AA12" s="24"/>
      <c r="AB12" s="24"/>
      <c r="AC12" s="24"/>
      <c r="AD12" s="24"/>
      <c r="AE12" s="24"/>
      <c r="AF12" s="24"/>
    </row>
    <row r="13" spans="1:32" ht="15.75" customHeight="1">
      <c r="A13" s="32" t="s">
        <v>116</v>
      </c>
      <c r="B13" s="32" t="s">
        <v>117</v>
      </c>
      <c r="C13" s="34">
        <v>4</v>
      </c>
      <c r="D13" s="21" t="str">
        <f t="shared" si="0"/>
        <v>FROPTimpact</v>
      </c>
      <c r="E13" s="16" t="s">
        <v>106</v>
      </c>
      <c r="F13" s="16" t="s">
        <v>107</v>
      </c>
      <c r="G13" s="23"/>
      <c r="H13" s="5"/>
      <c r="I13" s="5"/>
      <c r="J13" s="5"/>
      <c r="K13" s="5"/>
      <c r="L13" s="5"/>
      <c r="M13" s="5"/>
      <c r="N13" s="24"/>
      <c r="O13" s="24"/>
      <c r="P13" s="24"/>
      <c r="Q13" s="24"/>
      <c r="R13" s="24"/>
      <c r="S13" s="24"/>
      <c r="T13" s="24"/>
      <c r="U13" s="24"/>
      <c r="V13" s="24"/>
      <c r="W13" s="24"/>
      <c r="X13" s="24"/>
      <c r="Y13" s="24"/>
      <c r="Z13" s="24"/>
      <c r="AA13" s="24"/>
      <c r="AB13" s="24"/>
      <c r="AC13" s="24"/>
      <c r="AD13" s="24"/>
      <c r="AE13" s="24"/>
      <c r="AF13" s="24"/>
    </row>
    <row r="14" spans="1:32" ht="15.75" customHeight="1">
      <c r="A14" s="42" t="s">
        <v>118</v>
      </c>
      <c r="B14" s="42" t="s">
        <v>125</v>
      </c>
      <c r="C14" s="27">
        <v>1</v>
      </c>
      <c r="D14" s="21" t="str">
        <f t="shared" si="0"/>
        <v>FROPTsecurityclass</v>
      </c>
      <c r="E14" s="28" t="s">
        <v>126</v>
      </c>
      <c r="F14" s="28" t="s">
        <v>127</v>
      </c>
      <c r="G14" s="23"/>
      <c r="H14" s="5"/>
      <c r="I14" s="5"/>
      <c r="J14" s="5"/>
      <c r="K14" s="5"/>
      <c r="L14" s="5"/>
      <c r="M14" s="5"/>
      <c r="N14" s="24"/>
      <c r="O14" s="24"/>
      <c r="P14" s="24"/>
      <c r="Q14" s="24"/>
      <c r="R14" s="24"/>
      <c r="S14" s="24"/>
      <c r="T14" s="24"/>
      <c r="U14" s="24"/>
      <c r="V14" s="24"/>
      <c r="W14" s="24"/>
      <c r="X14" s="24"/>
      <c r="Y14" s="24"/>
      <c r="Z14" s="24"/>
      <c r="AA14" s="24"/>
      <c r="AB14" s="24"/>
      <c r="AC14" s="24"/>
      <c r="AD14" s="24"/>
      <c r="AE14" s="24"/>
      <c r="AF14" s="24"/>
    </row>
    <row r="15" spans="1:32" ht="15.75" customHeight="1">
      <c r="A15" s="42" t="s">
        <v>128</v>
      </c>
      <c r="B15" s="42" t="s">
        <v>129</v>
      </c>
      <c r="C15" s="27">
        <v>2</v>
      </c>
      <c r="D15" s="21" t="str">
        <f t="shared" si="0"/>
        <v>FROPTsecurityclass</v>
      </c>
      <c r="E15" s="28" t="s">
        <v>126</v>
      </c>
      <c r="F15" s="28" t="s">
        <v>127</v>
      </c>
      <c r="G15" s="23"/>
      <c r="H15" s="5"/>
      <c r="I15" s="5"/>
      <c r="J15" s="5"/>
      <c r="K15" s="5"/>
      <c r="L15" s="5"/>
      <c r="M15" s="5"/>
      <c r="N15" s="24"/>
      <c r="O15" s="24"/>
      <c r="P15" s="24"/>
      <c r="Q15" s="24"/>
      <c r="R15" s="24"/>
      <c r="S15" s="24"/>
      <c r="T15" s="24"/>
      <c r="U15" s="24"/>
      <c r="V15" s="24"/>
      <c r="W15" s="24"/>
      <c r="X15" s="24"/>
      <c r="Y15" s="24"/>
      <c r="Z15" s="24"/>
      <c r="AA15" s="24"/>
      <c r="AB15" s="24"/>
      <c r="AC15" s="24"/>
      <c r="AD15" s="24"/>
      <c r="AE15" s="24"/>
      <c r="AF15" s="24"/>
    </row>
    <row r="16" spans="1:32" ht="15.75" customHeight="1">
      <c r="A16" s="42" t="s">
        <v>130</v>
      </c>
      <c r="B16" s="42" t="s">
        <v>131</v>
      </c>
      <c r="C16" s="27">
        <v>3</v>
      </c>
      <c r="D16" s="21" t="str">
        <f t="shared" si="0"/>
        <v>FROPTsecurityclass</v>
      </c>
      <c r="E16" s="28" t="s">
        <v>126</v>
      </c>
      <c r="F16" s="28" t="s">
        <v>127</v>
      </c>
      <c r="G16" s="23"/>
      <c r="H16" s="5"/>
      <c r="I16" s="5"/>
      <c r="J16" s="5"/>
      <c r="K16" s="5"/>
      <c r="L16" s="5"/>
      <c r="M16" s="5"/>
      <c r="N16" s="24"/>
      <c r="O16" s="24"/>
      <c r="P16" s="24"/>
      <c r="Q16" s="24"/>
      <c r="R16" s="24"/>
      <c r="S16" s="24"/>
      <c r="T16" s="24"/>
      <c r="U16" s="24"/>
      <c r="V16" s="24"/>
      <c r="W16" s="24"/>
      <c r="X16" s="24"/>
      <c r="Y16" s="24"/>
      <c r="Z16" s="24"/>
      <c r="AA16" s="24"/>
      <c r="AB16" s="24"/>
      <c r="AC16" s="24"/>
      <c r="AD16" s="24"/>
      <c r="AE16" s="24"/>
      <c r="AF16" s="24"/>
    </row>
    <row r="17" spans="1:32" ht="15.75" customHeight="1">
      <c r="A17" s="42" t="s">
        <v>133</v>
      </c>
      <c r="B17" s="42" t="s">
        <v>134</v>
      </c>
      <c r="C17" s="27">
        <v>4</v>
      </c>
      <c r="D17" s="21" t="str">
        <f t="shared" si="0"/>
        <v>FROPTsecurityclass</v>
      </c>
      <c r="E17" s="28" t="s">
        <v>126</v>
      </c>
      <c r="F17" s="28" t="s">
        <v>127</v>
      </c>
      <c r="G17" s="23"/>
      <c r="H17" s="5"/>
      <c r="I17" s="5"/>
      <c r="J17" s="5"/>
      <c r="K17" s="5"/>
      <c r="L17" s="5"/>
      <c r="M17" s="5"/>
      <c r="N17" s="24"/>
      <c r="O17" s="24"/>
      <c r="P17" s="24"/>
      <c r="Q17" s="24"/>
      <c r="R17" s="24"/>
      <c r="S17" s="24"/>
      <c r="T17" s="24"/>
      <c r="U17" s="24"/>
      <c r="V17" s="24"/>
      <c r="W17" s="24"/>
      <c r="X17" s="24"/>
      <c r="Y17" s="24"/>
      <c r="Z17" s="24"/>
      <c r="AA17" s="24"/>
      <c r="AB17" s="24"/>
      <c r="AC17" s="24"/>
      <c r="AD17" s="24"/>
      <c r="AE17" s="24"/>
      <c r="AF17" s="24"/>
    </row>
    <row r="18" spans="1:32" ht="15.75" customHeight="1">
      <c r="A18" s="42" t="s">
        <v>136</v>
      </c>
      <c r="B18" s="42" t="s">
        <v>137</v>
      </c>
      <c r="C18" s="27">
        <v>0</v>
      </c>
      <c r="D18" s="21" t="str">
        <f t="shared" si="0"/>
        <v>FROPTsecurityclass</v>
      </c>
      <c r="E18" s="28" t="s">
        <v>126</v>
      </c>
      <c r="F18" s="28" t="s">
        <v>127</v>
      </c>
      <c r="G18" s="23"/>
      <c r="H18" s="5"/>
      <c r="I18" s="5"/>
      <c r="J18" s="5"/>
      <c r="K18" s="5"/>
      <c r="L18" s="5"/>
      <c r="M18" s="5"/>
      <c r="N18" s="24"/>
      <c r="O18" s="24"/>
      <c r="P18" s="24"/>
      <c r="Q18" s="24"/>
      <c r="R18" s="24"/>
      <c r="S18" s="24"/>
      <c r="T18" s="24"/>
      <c r="U18" s="24"/>
      <c r="V18" s="24"/>
      <c r="W18" s="24"/>
      <c r="X18" s="24"/>
      <c r="Y18" s="24"/>
      <c r="Z18" s="24"/>
      <c r="AA18" s="24"/>
      <c r="AB18" s="24"/>
      <c r="AC18" s="24"/>
      <c r="AD18" s="24"/>
      <c r="AE18" s="24"/>
      <c r="AF18" s="24"/>
    </row>
    <row r="19" spans="1:32" ht="15.75" customHeight="1">
      <c r="A19" s="16" t="s">
        <v>138</v>
      </c>
      <c r="B19" s="16" t="s">
        <v>140</v>
      </c>
      <c r="C19" s="34">
        <v>1</v>
      </c>
      <c r="D19" s="21" t="str">
        <f t="shared" si="0"/>
        <v>FROPTcontroldata</v>
      </c>
      <c r="E19" s="16" t="s">
        <v>141</v>
      </c>
      <c r="F19" s="16" t="s">
        <v>142</v>
      </c>
      <c r="G19" s="23"/>
      <c r="H19" s="5"/>
      <c r="I19" s="5"/>
      <c r="J19" s="5"/>
      <c r="K19" s="5"/>
      <c r="L19" s="5"/>
      <c r="M19" s="5"/>
      <c r="N19" s="24"/>
      <c r="O19" s="24"/>
      <c r="P19" s="24"/>
      <c r="Q19" s="24"/>
      <c r="R19" s="24"/>
      <c r="S19" s="24"/>
      <c r="T19" s="24"/>
      <c r="U19" s="24"/>
      <c r="V19" s="24"/>
      <c r="W19" s="24"/>
      <c r="X19" s="24"/>
      <c r="Y19" s="24"/>
      <c r="Z19" s="24"/>
      <c r="AA19" s="24"/>
      <c r="AB19" s="24"/>
      <c r="AC19" s="24"/>
      <c r="AD19" s="24"/>
      <c r="AE19" s="24"/>
      <c r="AF19" s="24"/>
    </row>
    <row r="20" spans="1:32" ht="15.75" customHeight="1">
      <c r="A20" s="16" t="s">
        <v>143</v>
      </c>
      <c r="B20" s="16" t="s">
        <v>144</v>
      </c>
      <c r="C20" s="34">
        <v>3</v>
      </c>
      <c r="D20" s="21" t="str">
        <f t="shared" si="0"/>
        <v>FROPTcontroldata</v>
      </c>
      <c r="E20" s="16" t="s">
        <v>141</v>
      </c>
      <c r="F20" s="16" t="s">
        <v>142</v>
      </c>
      <c r="G20" s="23"/>
      <c r="H20" s="5"/>
      <c r="I20" s="5"/>
      <c r="J20" s="5"/>
      <c r="K20" s="5"/>
      <c r="L20" s="5"/>
      <c r="M20" s="5"/>
      <c r="N20" s="24"/>
      <c r="O20" s="24"/>
      <c r="P20" s="24"/>
      <c r="Q20" s="24"/>
      <c r="R20" s="24"/>
      <c r="S20" s="24"/>
      <c r="T20" s="24"/>
      <c r="U20" s="24"/>
      <c r="V20" s="24"/>
      <c r="W20" s="24"/>
      <c r="X20" s="24"/>
      <c r="Y20" s="24"/>
      <c r="Z20" s="24"/>
      <c r="AA20" s="24"/>
      <c r="AB20" s="24"/>
      <c r="AC20" s="24"/>
      <c r="AD20" s="24"/>
      <c r="AE20" s="24"/>
      <c r="AF20" s="24"/>
    </row>
    <row r="21" spans="1:32" ht="15.75" customHeight="1">
      <c r="A21" s="16" t="s">
        <v>146</v>
      </c>
      <c r="B21" s="16" t="s">
        <v>147</v>
      </c>
      <c r="C21" s="34">
        <v>4</v>
      </c>
      <c r="D21" s="21" t="str">
        <f t="shared" si="0"/>
        <v>FROPTcontroldata</v>
      </c>
      <c r="E21" s="16" t="s">
        <v>141</v>
      </c>
      <c r="F21" s="16" t="s">
        <v>142</v>
      </c>
      <c r="G21" s="23"/>
      <c r="H21" s="5"/>
      <c r="I21" s="5"/>
      <c r="J21" s="5"/>
      <c r="K21" s="5"/>
      <c r="L21" s="5"/>
      <c r="M21" s="5"/>
      <c r="N21" s="24"/>
      <c r="O21" s="24"/>
      <c r="P21" s="24"/>
      <c r="Q21" s="24"/>
      <c r="R21" s="24"/>
      <c r="S21" s="24"/>
      <c r="T21" s="24"/>
      <c r="U21" s="24"/>
      <c r="V21" s="24"/>
      <c r="W21" s="24"/>
      <c r="X21" s="24"/>
      <c r="Y21" s="24"/>
      <c r="Z21" s="24"/>
      <c r="AA21" s="24"/>
      <c r="AB21" s="24"/>
      <c r="AC21" s="24"/>
      <c r="AD21" s="24"/>
      <c r="AE21" s="24"/>
      <c r="AF21" s="24"/>
    </row>
    <row r="22" spans="1:32" ht="15.75" customHeight="1">
      <c r="A22" s="16" t="s">
        <v>150</v>
      </c>
      <c r="B22" s="16" t="s">
        <v>151</v>
      </c>
      <c r="C22" s="34">
        <v>0</v>
      </c>
      <c r="D22" s="21" t="str">
        <f t="shared" si="0"/>
        <v>FROPTcontroldata</v>
      </c>
      <c r="E22" s="16" t="s">
        <v>141</v>
      </c>
      <c r="F22" s="16" t="s">
        <v>142</v>
      </c>
      <c r="G22" s="23"/>
      <c r="H22" s="5"/>
      <c r="I22" s="5"/>
      <c r="J22" s="5"/>
      <c r="K22" s="5"/>
      <c r="L22" s="5"/>
      <c r="M22" s="5"/>
      <c r="N22" s="24"/>
      <c r="O22" s="24"/>
      <c r="P22" s="24"/>
      <c r="Q22" s="24"/>
      <c r="R22" s="24"/>
      <c r="S22" s="24"/>
      <c r="T22" s="24"/>
      <c r="U22" s="24"/>
      <c r="V22" s="24"/>
      <c r="W22" s="24"/>
      <c r="X22" s="24"/>
      <c r="Y22" s="24"/>
      <c r="Z22" s="24"/>
      <c r="AA22" s="24"/>
      <c r="AB22" s="24"/>
      <c r="AC22" s="24"/>
      <c r="AD22" s="24"/>
      <c r="AE22" s="24"/>
      <c r="AF22" s="24"/>
    </row>
    <row r="23" spans="1:32" ht="15.75" customHeight="1">
      <c r="A23" s="28" t="s">
        <v>153</v>
      </c>
      <c r="B23" s="28" t="s">
        <v>154</v>
      </c>
      <c r="C23" s="27">
        <v>1</v>
      </c>
      <c r="D23" s="21" t="str">
        <f t="shared" si="0"/>
        <v>FROPTsourcedata</v>
      </c>
      <c r="E23" s="28" t="s">
        <v>156</v>
      </c>
      <c r="F23" s="28" t="s">
        <v>157</v>
      </c>
      <c r="G23" s="23"/>
      <c r="H23" s="5"/>
      <c r="I23" s="5"/>
      <c r="J23" s="5"/>
      <c r="K23" s="5"/>
      <c r="L23" s="5"/>
      <c r="M23" s="5"/>
      <c r="N23" s="24"/>
      <c r="O23" s="24"/>
      <c r="P23" s="24"/>
      <c r="Q23" s="24"/>
      <c r="R23" s="24"/>
      <c r="S23" s="24"/>
      <c r="T23" s="24"/>
      <c r="U23" s="24"/>
      <c r="V23" s="24"/>
      <c r="W23" s="24"/>
      <c r="X23" s="24"/>
      <c r="Y23" s="24"/>
      <c r="Z23" s="24"/>
      <c r="AA23" s="24"/>
      <c r="AB23" s="24"/>
      <c r="AC23" s="24"/>
      <c r="AD23" s="24"/>
      <c r="AE23" s="24"/>
      <c r="AF23" s="24"/>
    </row>
    <row r="24" spans="1:32" ht="15.75" customHeight="1">
      <c r="A24" s="28" t="s">
        <v>159</v>
      </c>
      <c r="B24" s="28" t="s">
        <v>160</v>
      </c>
      <c r="C24" s="27">
        <v>2</v>
      </c>
      <c r="D24" s="21" t="str">
        <f t="shared" si="0"/>
        <v>FROPTsourcedata</v>
      </c>
      <c r="E24" s="28" t="s">
        <v>156</v>
      </c>
      <c r="F24" s="28" t="s">
        <v>157</v>
      </c>
      <c r="G24" s="23"/>
      <c r="H24" s="5"/>
      <c r="I24" s="5"/>
      <c r="J24" s="5"/>
      <c r="K24" s="5"/>
      <c r="L24" s="5"/>
      <c r="M24" s="5"/>
      <c r="N24" s="24"/>
      <c r="O24" s="24"/>
      <c r="P24" s="24"/>
      <c r="Q24" s="24"/>
      <c r="R24" s="24"/>
      <c r="S24" s="24"/>
      <c r="T24" s="24"/>
      <c r="U24" s="24"/>
      <c r="V24" s="24"/>
      <c r="W24" s="24"/>
      <c r="X24" s="24"/>
      <c r="Y24" s="24"/>
      <c r="Z24" s="24"/>
      <c r="AA24" s="24"/>
      <c r="AB24" s="24"/>
      <c r="AC24" s="24"/>
      <c r="AD24" s="24"/>
      <c r="AE24" s="24"/>
      <c r="AF24" s="24"/>
    </row>
    <row r="25" spans="1:32" ht="15.75" customHeight="1">
      <c r="A25" s="28" t="s">
        <v>161</v>
      </c>
      <c r="B25" s="28" t="s">
        <v>162</v>
      </c>
      <c r="C25" s="27">
        <v>3</v>
      </c>
      <c r="D25" s="21" t="str">
        <f t="shared" si="0"/>
        <v>FROPTsourcedata</v>
      </c>
      <c r="E25" s="28" t="s">
        <v>156</v>
      </c>
      <c r="F25" s="28" t="s">
        <v>157</v>
      </c>
      <c r="G25" s="23"/>
      <c r="H25" s="5"/>
      <c r="I25" s="5"/>
      <c r="J25" s="5"/>
      <c r="K25" s="5"/>
      <c r="L25" s="5"/>
      <c r="M25" s="5"/>
      <c r="N25" s="24"/>
      <c r="O25" s="24"/>
      <c r="P25" s="24"/>
      <c r="Q25" s="24"/>
      <c r="R25" s="24"/>
      <c r="S25" s="24"/>
      <c r="T25" s="24"/>
      <c r="U25" s="24"/>
      <c r="V25" s="24"/>
      <c r="W25" s="24"/>
      <c r="X25" s="24"/>
      <c r="Y25" s="24"/>
      <c r="Z25" s="24"/>
      <c r="AA25" s="24"/>
      <c r="AB25" s="24"/>
      <c r="AC25" s="24"/>
      <c r="AD25" s="24"/>
      <c r="AE25" s="24"/>
      <c r="AF25" s="24"/>
    </row>
    <row r="26" spans="1:32" ht="15.75" customHeight="1">
      <c r="A26" s="28" t="s">
        <v>163</v>
      </c>
      <c r="B26" s="28" t="s">
        <v>164</v>
      </c>
      <c r="C26" s="27">
        <v>4</v>
      </c>
      <c r="D26" s="21" t="str">
        <f t="shared" si="0"/>
        <v>FROPTsourcedata</v>
      </c>
      <c r="E26" s="28" t="s">
        <v>156</v>
      </c>
      <c r="F26" s="28" t="s">
        <v>157</v>
      </c>
      <c r="G26" s="23"/>
      <c r="H26" s="5"/>
      <c r="I26" s="5"/>
      <c r="J26" s="5"/>
      <c r="K26" s="5"/>
      <c r="L26" s="5"/>
      <c r="M26" s="5"/>
      <c r="N26" s="24"/>
      <c r="O26" s="24"/>
      <c r="P26" s="24"/>
      <c r="Q26" s="24"/>
      <c r="R26" s="24"/>
      <c r="S26" s="24"/>
      <c r="T26" s="24"/>
      <c r="U26" s="24"/>
      <c r="V26" s="24"/>
      <c r="W26" s="24"/>
      <c r="X26" s="24"/>
      <c r="Y26" s="24"/>
      <c r="Z26" s="24"/>
      <c r="AA26" s="24"/>
      <c r="AB26" s="24"/>
      <c r="AC26" s="24"/>
      <c r="AD26" s="24"/>
      <c r="AE26" s="24"/>
      <c r="AF26" s="24"/>
    </row>
    <row r="27" spans="1:32" ht="15.75" customHeight="1">
      <c r="A27" s="16" t="s">
        <v>166</v>
      </c>
      <c r="B27" s="16" t="s">
        <v>167</v>
      </c>
      <c r="C27" s="34">
        <v>2</v>
      </c>
      <c r="D27" s="21" t="str">
        <f t="shared" si="0"/>
        <v>FROPTunstructdata</v>
      </c>
      <c r="E27" s="16" t="s">
        <v>168</v>
      </c>
      <c r="F27" s="16" t="s">
        <v>169</v>
      </c>
      <c r="G27" s="23"/>
      <c r="H27" s="5"/>
      <c r="I27" s="5"/>
      <c r="J27" s="5"/>
      <c r="K27" s="5"/>
      <c r="L27" s="5"/>
      <c r="M27" s="5"/>
      <c r="N27" s="24"/>
      <c r="O27" s="24"/>
      <c r="P27" s="24"/>
      <c r="Q27" s="24"/>
      <c r="R27" s="24"/>
      <c r="S27" s="24"/>
      <c r="T27" s="24"/>
      <c r="U27" s="24"/>
      <c r="V27" s="24"/>
      <c r="W27" s="24"/>
      <c r="X27" s="24"/>
      <c r="Y27" s="24"/>
      <c r="Z27" s="24"/>
      <c r="AA27" s="24"/>
      <c r="AB27" s="24"/>
      <c r="AC27" s="24"/>
      <c r="AD27" s="24"/>
      <c r="AE27" s="24"/>
      <c r="AF27" s="24"/>
    </row>
    <row r="28" spans="1:32" ht="15.75" customHeight="1">
      <c r="A28" s="16" t="s">
        <v>170</v>
      </c>
      <c r="B28" s="16" t="s">
        <v>171</v>
      </c>
      <c r="C28" s="34">
        <v>4</v>
      </c>
      <c r="D28" s="21" t="str">
        <f t="shared" si="0"/>
        <v>FROPTunstructdata</v>
      </c>
      <c r="E28" s="16" t="s">
        <v>168</v>
      </c>
      <c r="F28" s="16" t="s">
        <v>169</v>
      </c>
      <c r="G28" s="23"/>
      <c r="H28" s="5"/>
      <c r="I28" s="5"/>
      <c r="J28" s="5"/>
      <c r="K28" s="5"/>
      <c r="L28" s="5"/>
      <c r="M28" s="5"/>
      <c r="N28" s="24"/>
      <c r="O28" s="24"/>
      <c r="P28" s="24"/>
      <c r="Q28" s="24"/>
      <c r="R28" s="24"/>
      <c r="S28" s="24"/>
      <c r="T28" s="24"/>
      <c r="U28" s="24"/>
      <c r="V28" s="24"/>
      <c r="W28" s="24"/>
      <c r="X28" s="24"/>
      <c r="Y28" s="24"/>
      <c r="Z28" s="24"/>
      <c r="AA28" s="24"/>
      <c r="AB28" s="24"/>
      <c r="AC28" s="24"/>
      <c r="AD28" s="24"/>
      <c r="AE28" s="24"/>
      <c r="AF28" s="24"/>
    </row>
    <row r="29" spans="1:32" ht="15.75" customHeight="1">
      <c r="A29" s="26" t="s">
        <v>174</v>
      </c>
      <c r="B29" s="26" t="s">
        <v>175</v>
      </c>
      <c r="C29" s="27">
        <v>1</v>
      </c>
      <c r="D29" s="21"/>
      <c r="E29" s="28" t="s">
        <v>120</v>
      </c>
      <c r="F29" s="28" t="s">
        <v>177</v>
      </c>
      <c r="G29" s="23"/>
      <c r="H29" s="5"/>
      <c r="I29" s="5"/>
      <c r="J29" s="5"/>
      <c r="K29" s="5"/>
      <c r="L29" s="5"/>
      <c r="M29" s="5"/>
      <c r="N29" s="24"/>
      <c r="O29" s="24"/>
      <c r="P29" s="24"/>
      <c r="Q29" s="24"/>
      <c r="R29" s="24"/>
      <c r="S29" s="24"/>
      <c r="T29" s="24"/>
      <c r="U29" s="24"/>
      <c r="V29" s="24"/>
      <c r="W29" s="24"/>
      <c r="X29" s="24"/>
      <c r="Y29" s="24"/>
      <c r="Z29" s="24"/>
      <c r="AA29" s="24"/>
      <c r="AB29" s="24"/>
      <c r="AC29" s="24"/>
      <c r="AD29" s="24"/>
      <c r="AE29" s="24"/>
      <c r="AF29" s="24"/>
    </row>
    <row r="30" spans="1:32" ht="15.75" customHeight="1">
      <c r="A30" s="26" t="s">
        <v>178</v>
      </c>
      <c r="B30" s="26" t="s">
        <v>179</v>
      </c>
      <c r="C30" s="27">
        <v>2</v>
      </c>
      <c r="D30" s="21"/>
      <c r="E30" s="28" t="s">
        <v>120</v>
      </c>
      <c r="F30" s="28" t="s">
        <v>180</v>
      </c>
      <c r="G30" s="23"/>
      <c r="H30" s="5"/>
      <c r="I30" s="5"/>
      <c r="J30" s="5"/>
      <c r="K30" s="5"/>
      <c r="L30" s="5"/>
      <c r="M30" s="5"/>
      <c r="N30" s="24"/>
      <c r="O30" s="24"/>
      <c r="P30" s="24"/>
      <c r="Q30" s="24"/>
      <c r="R30" s="24"/>
      <c r="S30" s="24"/>
      <c r="T30" s="24"/>
      <c r="U30" s="24"/>
      <c r="V30" s="24"/>
      <c r="W30" s="24"/>
      <c r="X30" s="24"/>
      <c r="Y30" s="24"/>
      <c r="Z30" s="24"/>
      <c r="AA30" s="24"/>
      <c r="AB30" s="24"/>
      <c r="AC30" s="24"/>
      <c r="AD30" s="24"/>
      <c r="AE30" s="24"/>
      <c r="AF30" s="24"/>
    </row>
    <row r="31" spans="1:32" ht="15.75" customHeight="1">
      <c r="A31" s="26" t="s">
        <v>181</v>
      </c>
      <c r="B31" s="26" t="s">
        <v>182</v>
      </c>
      <c r="C31" s="27">
        <v>3</v>
      </c>
      <c r="D31" s="21"/>
      <c r="E31" s="28" t="s">
        <v>120</v>
      </c>
      <c r="F31" s="28" t="s">
        <v>183</v>
      </c>
      <c r="G31" s="23"/>
      <c r="H31" s="5"/>
      <c r="I31" s="5"/>
      <c r="J31" s="5"/>
      <c r="K31" s="5"/>
      <c r="L31" s="5"/>
      <c r="M31" s="5"/>
      <c r="N31" s="24"/>
      <c r="O31" s="24"/>
      <c r="P31" s="24"/>
      <c r="Q31" s="24"/>
      <c r="R31" s="24"/>
      <c r="S31" s="24"/>
      <c r="T31" s="24"/>
      <c r="U31" s="24"/>
      <c r="V31" s="24"/>
      <c r="W31" s="24"/>
      <c r="X31" s="24"/>
      <c r="Y31" s="24"/>
      <c r="Z31" s="24"/>
      <c r="AA31" s="24"/>
      <c r="AB31" s="24"/>
      <c r="AC31" s="24"/>
      <c r="AD31" s="24"/>
      <c r="AE31" s="24"/>
      <c r="AF31" s="24"/>
    </row>
    <row r="32" spans="1:32" ht="15.75" customHeight="1">
      <c r="A32" s="26" t="s">
        <v>185</v>
      </c>
      <c r="B32" s="26" t="s">
        <v>186</v>
      </c>
      <c r="C32" s="27">
        <v>4</v>
      </c>
      <c r="D32" s="21"/>
      <c r="E32" s="28" t="s">
        <v>120</v>
      </c>
      <c r="F32" s="28" t="s">
        <v>188</v>
      </c>
      <c r="G32" s="23"/>
      <c r="H32" s="5"/>
      <c r="I32" s="5"/>
      <c r="J32" s="5"/>
      <c r="K32" s="5"/>
      <c r="L32" s="5"/>
      <c r="M32" s="5"/>
      <c r="N32" s="24"/>
      <c r="O32" s="24"/>
      <c r="P32" s="24"/>
      <c r="Q32" s="24"/>
      <c r="R32" s="24"/>
      <c r="S32" s="24"/>
      <c r="T32" s="24"/>
      <c r="U32" s="24"/>
      <c r="V32" s="24"/>
      <c r="W32" s="24"/>
      <c r="X32" s="24"/>
      <c r="Y32" s="24"/>
      <c r="Z32" s="24"/>
      <c r="AA32" s="24"/>
      <c r="AB32" s="24"/>
      <c r="AC32" s="24"/>
      <c r="AD32" s="24"/>
      <c r="AE32" s="24"/>
      <c r="AF32" s="24"/>
    </row>
    <row r="33" spans="1:7" ht="15.75" customHeight="1">
      <c r="A33" s="26" t="s">
        <v>189</v>
      </c>
      <c r="B33" s="37" t="s">
        <v>190</v>
      </c>
      <c r="C33" s="47">
        <v>0.8</v>
      </c>
      <c r="D33" s="21"/>
      <c r="E33" s="28" t="s">
        <v>120</v>
      </c>
      <c r="F33" s="28" t="s">
        <v>193</v>
      </c>
      <c r="G33" s="48"/>
    </row>
    <row r="34" spans="1:7" ht="15.75" customHeight="1">
      <c r="A34" s="26" t="s">
        <v>195</v>
      </c>
      <c r="B34" s="26" t="s">
        <v>196</v>
      </c>
      <c r="C34" s="27">
        <v>28</v>
      </c>
      <c r="D34" s="21"/>
      <c r="E34" s="28" t="s">
        <v>120</v>
      </c>
      <c r="F34" s="28" t="s">
        <v>197</v>
      </c>
      <c r="G34" s="48"/>
    </row>
    <row r="35" spans="1:7" ht="12.75">
      <c r="C35" s="49"/>
      <c r="G35" s="48"/>
    </row>
    <row r="36" spans="1:7" ht="12.75">
      <c r="C36" s="49"/>
      <c r="G36" s="48"/>
    </row>
    <row r="37" spans="1:7" ht="12.75">
      <c r="C37" s="49"/>
      <c r="G37" s="48"/>
    </row>
    <row r="38" spans="1:7" ht="12.75">
      <c r="C38" s="49"/>
      <c r="G38" s="48"/>
    </row>
    <row r="39" spans="1:7" ht="12.75">
      <c r="C39" s="49"/>
      <c r="G39" s="48"/>
    </row>
    <row r="40" spans="1:7" ht="12.75">
      <c r="C40" s="49"/>
      <c r="G40" s="48"/>
    </row>
    <row r="41" spans="1:7" ht="12.75">
      <c r="C41" s="49"/>
      <c r="G41" s="48"/>
    </row>
    <row r="42" spans="1:7" ht="12.75">
      <c r="C42" s="49"/>
      <c r="G42" s="48"/>
    </row>
    <row r="43" spans="1:7" ht="12.75">
      <c r="C43" s="49"/>
      <c r="G43" s="48"/>
    </row>
    <row r="44" spans="1:7" ht="12.75">
      <c r="C44" s="49"/>
      <c r="G44" s="48"/>
    </row>
    <row r="45" spans="1:7" ht="12.75">
      <c r="C45" s="49"/>
      <c r="G45" s="48"/>
    </row>
    <row r="46" spans="1:7" ht="12.75">
      <c r="C46" s="49"/>
      <c r="G46" s="48"/>
    </row>
    <row r="47" spans="1:7" ht="12.75">
      <c r="C47" s="49"/>
      <c r="G47" s="48"/>
    </row>
    <row r="48" spans="1:7" ht="12.75">
      <c r="C48" s="49"/>
      <c r="G48" s="48"/>
    </row>
    <row r="49" spans="3:7" ht="12.75">
      <c r="C49" s="49"/>
      <c r="G49" s="48"/>
    </row>
    <row r="50" spans="3:7" ht="12.75">
      <c r="C50" s="49"/>
      <c r="G50" s="48"/>
    </row>
    <row r="51" spans="3:7" ht="12.75">
      <c r="C51" s="49"/>
      <c r="G51" s="48"/>
    </row>
    <row r="52" spans="3:7" ht="12.75">
      <c r="C52" s="49"/>
      <c r="G52" s="48"/>
    </row>
    <row r="53" spans="3:7" ht="12.75">
      <c r="C53" s="49"/>
      <c r="G53" s="48"/>
    </row>
    <row r="54" spans="3:7" ht="12.75">
      <c r="C54" s="49"/>
      <c r="G54" s="48"/>
    </row>
    <row r="55" spans="3:7" ht="12.75">
      <c r="C55" s="49"/>
      <c r="G55" s="48"/>
    </row>
    <row r="56" spans="3:7" ht="12.75">
      <c r="C56" s="49"/>
      <c r="G56" s="48"/>
    </row>
    <row r="57" spans="3:7" ht="12.75">
      <c r="C57" s="49"/>
      <c r="G57" s="48"/>
    </row>
    <row r="58" spans="3:7" ht="12.75">
      <c r="C58" s="49"/>
      <c r="G58" s="48"/>
    </row>
    <row r="59" spans="3:7" ht="12.75">
      <c r="C59" s="49"/>
      <c r="G59" s="48"/>
    </row>
    <row r="60" spans="3:7" ht="12.75">
      <c r="C60" s="49"/>
      <c r="G60" s="48"/>
    </row>
    <row r="61" spans="3:7" ht="12.75">
      <c r="C61" s="49"/>
      <c r="G61" s="48"/>
    </row>
    <row r="62" spans="3:7" ht="12.75">
      <c r="C62" s="49"/>
      <c r="G62" s="48"/>
    </row>
    <row r="63" spans="3:7" ht="12.75">
      <c r="C63" s="49"/>
      <c r="G63" s="48"/>
    </row>
    <row r="64" spans="3:7" ht="12.75">
      <c r="C64" s="49"/>
      <c r="G64" s="48"/>
    </row>
    <row r="65" spans="3:7" ht="12.75">
      <c r="C65" s="49"/>
      <c r="G65" s="48"/>
    </row>
    <row r="66" spans="3:7" ht="12.75">
      <c r="C66" s="49"/>
      <c r="G66" s="48"/>
    </row>
    <row r="67" spans="3:7" ht="12.75">
      <c r="C67" s="49"/>
      <c r="G67" s="48"/>
    </row>
    <row r="68" spans="3:7" ht="12.75">
      <c r="C68" s="49"/>
      <c r="G68" s="48"/>
    </row>
    <row r="69" spans="3:7" ht="12.75">
      <c r="C69" s="49"/>
      <c r="G69" s="48"/>
    </row>
    <row r="70" spans="3:7" ht="12.75">
      <c r="C70" s="49"/>
      <c r="G70" s="48"/>
    </row>
    <row r="71" spans="3:7" ht="12.75">
      <c r="C71" s="49"/>
      <c r="G71" s="48"/>
    </row>
    <row r="72" spans="3:7" ht="12.75">
      <c r="C72" s="49"/>
      <c r="G72" s="48"/>
    </row>
    <row r="73" spans="3:7" ht="12.75">
      <c r="C73" s="49"/>
      <c r="G73" s="48"/>
    </row>
    <row r="74" spans="3:7" ht="12.75">
      <c r="C74" s="49"/>
      <c r="G74" s="48"/>
    </row>
    <row r="75" spans="3:7" ht="12.75">
      <c r="C75" s="49"/>
      <c r="G75" s="48"/>
    </row>
    <row r="76" spans="3:7" ht="12.75">
      <c r="C76" s="49"/>
      <c r="G76" s="48"/>
    </row>
    <row r="77" spans="3:7" ht="12.75">
      <c r="C77" s="49"/>
      <c r="G77" s="48"/>
    </row>
    <row r="78" spans="3:7" ht="12.75">
      <c r="C78" s="49"/>
      <c r="G78" s="48"/>
    </row>
    <row r="79" spans="3:7" ht="12.75">
      <c r="C79" s="49"/>
      <c r="G79" s="48"/>
    </row>
    <row r="80" spans="3:7" ht="12.75">
      <c r="C80" s="49"/>
      <c r="G80" s="48"/>
    </row>
    <row r="81" spans="3:7" ht="12.75">
      <c r="C81" s="49"/>
      <c r="G81" s="48"/>
    </row>
    <row r="82" spans="3:7" ht="12.75">
      <c r="C82" s="49"/>
      <c r="G82" s="48"/>
    </row>
    <row r="83" spans="3:7" ht="12.75">
      <c r="C83" s="49"/>
      <c r="G83" s="48"/>
    </row>
    <row r="84" spans="3:7" ht="12.75">
      <c r="C84" s="49"/>
      <c r="G84" s="48"/>
    </row>
    <row r="85" spans="3:7" ht="12.75">
      <c r="C85" s="49"/>
      <c r="G85" s="48"/>
    </row>
    <row r="86" spans="3:7" ht="12.75">
      <c r="C86" s="49"/>
      <c r="G86" s="48"/>
    </row>
    <row r="87" spans="3:7" ht="12.75">
      <c r="C87" s="49"/>
      <c r="G87" s="48"/>
    </row>
    <row r="88" spans="3:7" ht="12.75">
      <c r="C88" s="49"/>
      <c r="G88" s="48"/>
    </row>
    <row r="89" spans="3:7" ht="12.75">
      <c r="C89" s="49"/>
      <c r="G89" s="48"/>
    </row>
    <row r="90" spans="3:7" ht="12.75">
      <c r="C90" s="49"/>
      <c r="G90" s="48"/>
    </row>
    <row r="91" spans="3:7" ht="12.75">
      <c r="C91" s="49"/>
      <c r="G91" s="48"/>
    </row>
    <row r="92" spans="3:7" ht="12.75">
      <c r="C92" s="49"/>
      <c r="G92" s="48"/>
    </row>
    <row r="93" spans="3:7" ht="12.75">
      <c r="C93" s="49"/>
      <c r="G93" s="48"/>
    </row>
    <row r="94" spans="3:7" ht="12.75">
      <c r="C94" s="49"/>
      <c r="G94" s="48"/>
    </row>
    <row r="95" spans="3:7" ht="12.75">
      <c r="C95" s="49"/>
      <c r="G95" s="48"/>
    </row>
    <row r="96" spans="3:7" ht="12.75">
      <c r="C96" s="49"/>
      <c r="G96" s="48"/>
    </row>
    <row r="97" spans="3:7" ht="12.75">
      <c r="C97" s="49"/>
      <c r="G97" s="48"/>
    </row>
    <row r="98" spans="3:7" ht="12.75">
      <c r="C98" s="49"/>
      <c r="G98" s="48"/>
    </row>
    <row r="99" spans="3:7" ht="12.75">
      <c r="C99" s="49"/>
      <c r="G99" s="48"/>
    </row>
    <row r="100" spans="3:7" ht="12.75">
      <c r="C100" s="49"/>
      <c r="G100" s="48"/>
    </row>
    <row r="101" spans="3:7" ht="12.75">
      <c r="C101" s="49"/>
      <c r="G101" s="48"/>
    </row>
    <row r="102" spans="3:7" ht="12.75">
      <c r="C102" s="49"/>
      <c r="G102" s="48"/>
    </row>
    <row r="103" spans="3:7" ht="12.75">
      <c r="C103" s="49"/>
      <c r="G103" s="48"/>
    </row>
    <row r="104" spans="3:7" ht="12.75">
      <c r="C104" s="49"/>
      <c r="G104" s="48"/>
    </row>
    <row r="105" spans="3:7" ht="12.75">
      <c r="C105" s="49"/>
      <c r="G105" s="48"/>
    </row>
    <row r="106" spans="3:7" ht="12.75">
      <c r="C106" s="49"/>
      <c r="G106" s="48"/>
    </row>
    <row r="107" spans="3:7" ht="12.75">
      <c r="C107" s="49"/>
      <c r="G107" s="48"/>
    </row>
    <row r="108" spans="3:7" ht="12.75">
      <c r="C108" s="49"/>
      <c r="G108" s="48"/>
    </row>
    <row r="109" spans="3:7" ht="12.75">
      <c r="C109" s="49"/>
      <c r="G109" s="48"/>
    </row>
    <row r="110" spans="3:7" ht="12.75">
      <c r="C110" s="49"/>
      <c r="G110" s="48"/>
    </row>
    <row r="111" spans="3:7" ht="12.75">
      <c r="C111" s="49"/>
      <c r="G111" s="48"/>
    </row>
    <row r="112" spans="3:7" ht="12.75">
      <c r="C112" s="49"/>
      <c r="G112" s="48"/>
    </row>
    <row r="113" spans="3:7" ht="12.75">
      <c r="C113" s="49"/>
      <c r="G113" s="48"/>
    </row>
    <row r="114" spans="3:7" ht="12.75">
      <c r="C114" s="49"/>
      <c r="G114" s="48"/>
    </row>
    <row r="115" spans="3:7" ht="12.75">
      <c r="C115" s="49"/>
      <c r="G115" s="48"/>
    </row>
    <row r="116" spans="3:7" ht="12.75">
      <c r="C116" s="49"/>
      <c r="G116" s="48"/>
    </row>
    <row r="117" spans="3:7" ht="12.75">
      <c r="C117" s="49"/>
      <c r="G117" s="48"/>
    </row>
    <row r="118" spans="3:7" ht="12.75">
      <c r="C118" s="49"/>
      <c r="G118" s="48"/>
    </row>
    <row r="119" spans="3:7" ht="12.75">
      <c r="C119" s="49"/>
      <c r="G119" s="48"/>
    </row>
    <row r="120" spans="3:7" ht="12.75">
      <c r="C120" s="49"/>
      <c r="G120" s="48"/>
    </row>
    <row r="121" spans="3:7" ht="12.75">
      <c r="C121" s="49"/>
      <c r="G121" s="48"/>
    </row>
    <row r="122" spans="3:7" ht="12.75">
      <c r="C122" s="49"/>
      <c r="G122" s="48"/>
    </row>
    <row r="123" spans="3:7" ht="12.75">
      <c r="C123" s="49"/>
      <c r="G123" s="48"/>
    </row>
    <row r="124" spans="3:7" ht="12.75">
      <c r="C124" s="49"/>
      <c r="G124" s="48"/>
    </row>
    <row r="125" spans="3:7" ht="12.75">
      <c r="C125" s="49"/>
      <c r="G125" s="48"/>
    </row>
    <row r="126" spans="3:7" ht="12.75">
      <c r="C126" s="49"/>
      <c r="G126" s="48"/>
    </row>
    <row r="127" spans="3:7" ht="12.75">
      <c r="C127" s="49"/>
      <c r="G127" s="48"/>
    </row>
    <row r="128" spans="3:7" ht="12.75">
      <c r="C128" s="49"/>
      <c r="G128" s="48"/>
    </row>
    <row r="129" spans="3:7" ht="12.75">
      <c r="C129" s="49"/>
      <c r="G129" s="48"/>
    </row>
    <row r="130" spans="3:7" ht="12.75">
      <c r="C130" s="49"/>
      <c r="G130" s="48"/>
    </row>
    <row r="131" spans="3:7" ht="12.75">
      <c r="C131" s="49"/>
      <c r="G131" s="48"/>
    </row>
    <row r="132" spans="3:7" ht="12.75">
      <c r="C132" s="49"/>
      <c r="G132" s="48"/>
    </row>
    <row r="133" spans="3:7" ht="12.75">
      <c r="C133" s="49"/>
      <c r="G133" s="48"/>
    </row>
    <row r="134" spans="3:7" ht="12.75">
      <c r="C134" s="49"/>
      <c r="G134" s="48"/>
    </row>
    <row r="135" spans="3:7" ht="12.75">
      <c r="C135" s="49"/>
      <c r="G135" s="48"/>
    </row>
    <row r="136" spans="3:7" ht="12.75">
      <c r="C136" s="49"/>
      <c r="G136" s="48"/>
    </row>
    <row r="137" spans="3:7" ht="12.75">
      <c r="C137" s="49"/>
      <c r="G137" s="48"/>
    </row>
    <row r="138" spans="3:7" ht="12.75">
      <c r="C138" s="49"/>
      <c r="G138" s="48"/>
    </row>
    <row r="139" spans="3:7" ht="12.75">
      <c r="C139" s="49"/>
      <c r="G139" s="48"/>
    </row>
    <row r="140" spans="3:7" ht="12.75">
      <c r="C140" s="49"/>
      <c r="G140" s="48"/>
    </row>
    <row r="141" spans="3:7" ht="12.75">
      <c r="C141" s="49"/>
      <c r="G141" s="48"/>
    </row>
    <row r="142" spans="3:7" ht="12.75">
      <c r="C142" s="49"/>
      <c r="G142" s="48"/>
    </row>
    <row r="143" spans="3:7" ht="12.75">
      <c r="C143" s="49"/>
      <c r="G143" s="48"/>
    </row>
    <row r="144" spans="3:7" ht="12.75">
      <c r="C144" s="49"/>
      <c r="G144" s="48"/>
    </row>
    <row r="145" spans="3:7" ht="12.75">
      <c r="C145" s="49"/>
      <c r="G145" s="48"/>
    </row>
    <row r="146" spans="3:7" ht="12.75">
      <c r="C146" s="49"/>
      <c r="G146" s="48"/>
    </row>
    <row r="147" spans="3:7" ht="12.75">
      <c r="C147" s="49"/>
      <c r="G147" s="48"/>
    </row>
    <row r="148" spans="3:7" ht="12.75">
      <c r="C148" s="49"/>
      <c r="G148" s="48"/>
    </row>
    <row r="149" spans="3:7" ht="12.75">
      <c r="C149" s="49"/>
      <c r="G149" s="48"/>
    </row>
    <row r="150" spans="3:7" ht="12.75">
      <c r="C150" s="49"/>
      <c r="G150" s="48"/>
    </row>
    <row r="151" spans="3:7" ht="12.75">
      <c r="C151" s="49"/>
      <c r="G151" s="48"/>
    </row>
    <row r="152" spans="3:7" ht="12.75">
      <c r="C152" s="49"/>
      <c r="G152" s="48"/>
    </row>
    <row r="153" spans="3:7" ht="12.75">
      <c r="C153" s="49"/>
      <c r="G153" s="48"/>
    </row>
    <row r="154" spans="3:7" ht="12.75">
      <c r="C154" s="49"/>
      <c r="G154" s="48"/>
    </row>
    <row r="155" spans="3:7" ht="12.75">
      <c r="C155" s="49"/>
      <c r="G155" s="48"/>
    </row>
    <row r="156" spans="3:7" ht="12.75">
      <c r="C156" s="49"/>
      <c r="G156" s="48"/>
    </row>
    <row r="157" spans="3:7" ht="12.75">
      <c r="C157" s="49"/>
      <c r="G157" s="48"/>
    </row>
    <row r="158" spans="3:7" ht="12.75">
      <c r="C158" s="49"/>
      <c r="G158" s="48"/>
    </row>
    <row r="159" spans="3:7" ht="12.75">
      <c r="C159" s="49"/>
      <c r="G159" s="48"/>
    </row>
    <row r="160" spans="3:7" ht="12.75">
      <c r="C160" s="49"/>
      <c r="G160" s="48"/>
    </row>
    <row r="161" spans="3:7" ht="12.75">
      <c r="C161" s="49"/>
      <c r="G161" s="48"/>
    </row>
    <row r="162" spans="3:7" ht="12.75">
      <c r="C162" s="49"/>
      <c r="G162" s="48"/>
    </row>
    <row r="163" spans="3:7" ht="12.75">
      <c r="C163" s="49"/>
      <c r="G163" s="48"/>
    </row>
    <row r="164" spans="3:7" ht="12.75">
      <c r="C164" s="49"/>
      <c r="G164" s="48"/>
    </row>
    <row r="165" spans="3:7" ht="12.75">
      <c r="C165" s="49"/>
      <c r="G165" s="48"/>
    </row>
    <row r="166" spans="3:7" ht="12.75">
      <c r="C166" s="49"/>
      <c r="G166" s="48"/>
    </row>
    <row r="167" spans="3:7" ht="12.75">
      <c r="C167" s="49"/>
      <c r="G167" s="48"/>
    </row>
    <row r="168" spans="3:7" ht="12.75">
      <c r="C168" s="49"/>
      <c r="G168" s="48"/>
    </row>
    <row r="169" spans="3:7" ht="12.75">
      <c r="C169" s="49"/>
      <c r="G169" s="48"/>
    </row>
    <row r="170" spans="3:7" ht="12.75">
      <c r="C170" s="49"/>
      <c r="G170" s="48"/>
    </row>
    <row r="171" spans="3:7" ht="12.75">
      <c r="C171" s="49"/>
      <c r="G171" s="48"/>
    </row>
    <row r="172" spans="3:7" ht="12.75">
      <c r="C172" s="49"/>
      <c r="G172" s="48"/>
    </row>
    <row r="173" spans="3:7" ht="12.75">
      <c r="C173" s="49"/>
      <c r="G173" s="48"/>
    </row>
    <row r="174" spans="3:7" ht="12.75">
      <c r="C174" s="49"/>
      <c r="G174" s="48"/>
    </row>
    <row r="175" spans="3:7" ht="12.75">
      <c r="C175" s="49"/>
      <c r="G175" s="48"/>
    </row>
    <row r="176" spans="3:7" ht="12.75">
      <c r="C176" s="49"/>
      <c r="G176" s="48"/>
    </row>
    <row r="177" spans="3:7" ht="12.75">
      <c r="C177" s="49"/>
      <c r="G177" s="48"/>
    </row>
    <row r="178" spans="3:7" ht="12.75">
      <c r="C178" s="49"/>
      <c r="G178" s="48"/>
    </row>
    <row r="179" spans="3:7" ht="12.75">
      <c r="C179" s="49"/>
      <c r="G179" s="48"/>
    </row>
    <row r="180" spans="3:7" ht="12.75">
      <c r="C180" s="49"/>
      <c r="G180" s="48"/>
    </row>
    <row r="181" spans="3:7" ht="12.75">
      <c r="C181" s="49"/>
      <c r="G181" s="48"/>
    </row>
    <row r="182" spans="3:7" ht="12.75">
      <c r="C182" s="49"/>
      <c r="G182" s="48"/>
    </row>
    <row r="183" spans="3:7" ht="12.75">
      <c r="C183" s="49"/>
      <c r="G183" s="48"/>
    </row>
    <row r="184" spans="3:7" ht="12.75">
      <c r="C184" s="49"/>
      <c r="G184" s="48"/>
    </row>
    <row r="185" spans="3:7" ht="12.75">
      <c r="C185" s="49"/>
      <c r="G185" s="48"/>
    </row>
    <row r="186" spans="3:7" ht="12.75">
      <c r="C186" s="49"/>
      <c r="G186" s="48"/>
    </row>
    <row r="187" spans="3:7" ht="12.75">
      <c r="C187" s="49"/>
      <c r="G187" s="48"/>
    </row>
    <row r="188" spans="3:7" ht="12.75">
      <c r="C188" s="49"/>
      <c r="G188" s="48"/>
    </row>
    <row r="189" spans="3:7" ht="12.75">
      <c r="C189" s="49"/>
      <c r="G189" s="48"/>
    </row>
    <row r="190" spans="3:7" ht="12.75">
      <c r="C190" s="49"/>
      <c r="G190" s="48"/>
    </row>
    <row r="191" spans="3:7" ht="12.75">
      <c r="C191" s="49"/>
      <c r="G191" s="48"/>
    </row>
    <row r="192" spans="3:7" ht="12.75">
      <c r="C192" s="49"/>
      <c r="G192" s="48"/>
    </row>
    <row r="193" spans="3:7" ht="12.75">
      <c r="C193" s="49"/>
      <c r="G193" s="48"/>
    </row>
    <row r="194" spans="3:7" ht="12.75">
      <c r="C194" s="49"/>
      <c r="G194" s="48"/>
    </row>
    <row r="195" spans="3:7" ht="12.75">
      <c r="C195" s="49"/>
      <c r="G195" s="48"/>
    </row>
    <row r="196" spans="3:7" ht="12.75">
      <c r="C196" s="49"/>
      <c r="G196" s="48"/>
    </row>
    <row r="197" spans="3:7" ht="12.75">
      <c r="C197" s="49"/>
      <c r="G197" s="48"/>
    </row>
    <row r="198" spans="3:7" ht="12.75">
      <c r="C198" s="49"/>
      <c r="G198" s="48"/>
    </row>
    <row r="199" spans="3:7" ht="12.75">
      <c r="C199" s="49"/>
      <c r="G199" s="48"/>
    </row>
    <row r="200" spans="3:7" ht="12.75">
      <c r="C200" s="49"/>
      <c r="G200" s="48"/>
    </row>
    <row r="201" spans="3:7" ht="12.75">
      <c r="C201" s="49"/>
      <c r="G201" s="48"/>
    </row>
    <row r="202" spans="3:7" ht="12.75">
      <c r="C202" s="49"/>
      <c r="G202" s="48"/>
    </row>
    <row r="203" spans="3:7" ht="12.75">
      <c r="C203" s="49"/>
      <c r="G203" s="48"/>
    </row>
    <row r="204" spans="3:7" ht="12.75">
      <c r="C204" s="49"/>
      <c r="G204" s="48"/>
    </row>
    <row r="205" spans="3:7" ht="12.75">
      <c r="C205" s="49"/>
      <c r="G205" s="48"/>
    </row>
    <row r="206" spans="3:7" ht="12.75">
      <c r="C206" s="49"/>
      <c r="G206" s="48"/>
    </row>
    <row r="207" spans="3:7" ht="12.75">
      <c r="C207" s="49"/>
      <c r="G207" s="48"/>
    </row>
    <row r="208" spans="3:7" ht="12.75">
      <c r="C208" s="49"/>
      <c r="G208" s="48"/>
    </row>
    <row r="209" spans="3:7" ht="12.75">
      <c r="C209" s="49"/>
      <c r="G209" s="48"/>
    </row>
    <row r="210" spans="3:7" ht="12.75">
      <c r="C210" s="49"/>
      <c r="G210" s="48"/>
    </row>
    <row r="211" spans="3:7" ht="12.75">
      <c r="C211" s="49"/>
      <c r="G211" s="48"/>
    </row>
    <row r="212" spans="3:7" ht="12.75">
      <c r="C212" s="49"/>
      <c r="G212" s="48"/>
    </row>
    <row r="213" spans="3:7" ht="12.75">
      <c r="C213" s="49"/>
      <c r="G213" s="48"/>
    </row>
    <row r="214" spans="3:7" ht="12.75">
      <c r="C214" s="49"/>
      <c r="G214" s="48"/>
    </row>
    <row r="215" spans="3:7" ht="12.75">
      <c r="C215" s="49"/>
      <c r="G215" s="48"/>
    </row>
    <row r="216" spans="3:7" ht="12.75">
      <c r="C216" s="49"/>
      <c r="G216" s="48"/>
    </row>
    <row r="217" spans="3:7" ht="12.75">
      <c r="C217" s="49"/>
      <c r="G217" s="48"/>
    </row>
    <row r="218" spans="3:7" ht="12.75">
      <c r="C218" s="49"/>
      <c r="G218" s="48"/>
    </row>
    <row r="219" spans="3:7" ht="12.75">
      <c r="C219" s="49"/>
      <c r="G219" s="48"/>
    </row>
    <row r="220" spans="3:7" ht="12.75">
      <c r="C220" s="49"/>
      <c r="G220" s="48"/>
    </row>
    <row r="221" spans="3:7" ht="12.75">
      <c r="C221" s="49"/>
      <c r="G221" s="48"/>
    </row>
    <row r="222" spans="3:7" ht="12.75">
      <c r="C222" s="49"/>
      <c r="G222" s="48"/>
    </row>
    <row r="223" spans="3:7" ht="12.75">
      <c r="C223" s="49"/>
      <c r="G223" s="48"/>
    </row>
    <row r="224" spans="3:7" ht="12.75">
      <c r="C224" s="49"/>
      <c r="G224" s="48"/>
    </row>
    <row r="225" spans="3:7" ht="12.75">
      <c r="C225" s="49"/>
      <c r="G225" s="48"/>
    </row>
    <row r="226" spans="3:7" ht="12.75">
      <c r="C226" s="49"/>
      <c r="G226" s="48"/>
    </row>
    <row r="227" spans="3:7" ht="12.75">
      <c r="C227" s="49"/>
      <c r="G227" s="48"/>
    </row>
    <row r="228" spans="3:7" ht="12.75">
      <c r="C228" s="49"/>
      <c r="G228" s="48"/>
    </row>
    <row r="229" spans="3:7" ht="12.75">
      <c r="C229" s="49"/>
      <c r="G229" s="48"/>
    </row>
    <row r="230" spans="3:7" ht="12.75">
      <c r="C230" s="49"/>
      <c r="G230" s="48"/>
    </row>
    <row r="231" spans="3:7" ht="12.75">
      <c r="C231" s="49"/>
      <c r="G231" s="48"/>
    </row>
    <row r="232" spans="3:7" ht="12.75">
      <c r="C232" s="49"/>
      <c r="G232" s="48"/>
    </row>
    <row r="233" spans="3:7" ht="12.75">
      <c r="C233" s="49"/>
      <c r="G233" s="48"/>
    </row>
    <row r="234" spans="3:7" ht="12.75">
      <c r="C234" s="49"/>
      <c r="G234" s="48"/>
    </row>
    <row r="235" spans="3:7" ht="12.75">
      <c r="C235" s="49"/>
      <c r="G235" s="48"/>
    </row>
    <row r="236" spans="3:7" ht="12.75">
      <c r="C236" s="49"/>
      <c r="G236" s="48"/>
    </row>
    <row r="237" spans="3:7" ht="12.75">
      <c r="C237" s="49"/>
      <c r="G237" s="48"/>
    </row>
    <row r="238" spans="3:7" ht="12.75">
      <c r="C238" s="49"/>
      <c r="G238" s="48"/>
    </row>
    <row r="239" spans="3:7" ht="12.75">
      <c r="C239" s="49"/>
      <c r="G239" s="48"/>
    </row>
    <row r="240" spans="3:7" ht="12.75">
      <c r="C240" s="49"/>
      <c r="G240" s="48"/>
    </row>
    <row r="241" spans="3:7" ht="12.75">
      <c r="C241" s="49"/>
      <c r="G241" s="48"/>
    </row>
    <row r="242" spans="3:7" ht="12.75">
      <c r="C242" s="49"/>
      <c r="G242" s="48"/>
    </row>
    <row r="243" spans="3:7" ht="12.75">
      <c r="C243" s="49"/>
      <c r="G243" s="48"/>
    </row>
    <row r="244" spans="3:7" ht="12.75">
      <c r="C244" s="49"/>
      <c r="G244" s="48"/>
    </row>
    <row r="245" spans="3:7" ht="12.75">
      <c r="C245" s="49"/>
      <c r="G245" s="48"/>
    </row>
    <row r="246" spans="3:7" ht="12.75">
      <c r="C246" s="49"/>
      <c r="G246" s="48"/>
    </row>
    <row r="247" spans="3:7" ht="12.75">
      <c r="C247" s="49"/>
      <c r="G247" s="48"/>
    </row>
    <row r="248" spans="3:7" ht="12.75">
      <c r="C248" s="49"/>
      <c r="G248" s="48"/>
    </row>
    <row r="249" spans="3:7" ht="12.75">
      <c r="C249" s="49"/>
      <c r="G249" s="48"/>
    </row>
    <row r="250" spans="3:7" ht="12.75">
      <c r="C250" s="49"/>
      <c r="G250" s="48"/>
    </row>
    <row r="251" spans="3:7" ht="12.75">
      <c r="C251" s="49"/>
      <c r="G251" s="48"/>
    </row>
    <row r="252" spans="3:7" ht="12.75">
      <c r="C252" s="49"/>
      <c r="G252" s="48"/>
    </row>
    <row r="253" spans="3:7" ht="12.75">
      <c r="C253" s="49"/>
      <c r="G253" s="48"/>
    </row>
    <row r="254" spans="3:7" ht="12.75">
      <c r="C254" s="49"/>
      <c r="G254" s="48"/>
    </row>
    <row r="255" spans="3:7" ht="12.75">
      <c r="C255" s="49"/>
      <c r="G255" s="48"/>
    </row>
    <row r="256" spans="3:7" ht="12.75">
      <c r="C256" s="49"/>
      <c r="G256" s="48"/>
    </row>
    <row r="257" spans="3:7" ht="12.75">
      <c r="C257" s="49"/>
      <c r="G257" s="48"/>
    </row>
    <row r="258" spans="3:7" ht="12.75">
      <c r="C258" s="49"/>
      <c r="G258" s="48"/>
    </row>
    <row r="259" spans="3:7" ht="12.75">
      <c r="C259" s="49"/>
      <c r="G259" s="48"/>
    </row>
    <row r="260" spans="3:7" ht="12.75">
      <c r="C260" s="49"/>
      <c r="G260" s="48"/>
    </row>
    <row r="261" spans="3:7" ht="12.75">
      <c r="C261" s="49"/>
      <c r="G261" s="48"/>
    </row>
    <row r="262" spans="3:7" ht="12.75">
      <c r="C262" s="49"/>
      <c r="G262" s="48"/>
    </row>
    <row r="263" spans="3:7" ht="12.75">
      <c r="C263" s="49"/>
      <c r="G263" s="48"/>
    </row>
    <row r="264" spans="3:7" ht="12.75">
      <c r="C264" s="49"/>
      <c r="G264" s="48"/>
    </row>
    <row r="265" spans="3:7" ht="12.75">
      <c r="C265" s="49"/>
      <c r="G265" s="48"/>
    </row>
    <row r="266" spans="3:7" ht="12.75">
      <c r="C266" s="49"/>
      <c r="G266" s="48"/>
    </row>
    <row r="267" spans="3:7" ht="12.75">
      <c r="C267" s="49"/>
      <c r="G267" s="48"/>
    </row>
    <row r="268" spans="3:7" ht="12.75">
      <c r="C268" s="49"/>
      <c r="G268" s="48"/>
    </row>
    <row r="269" spans="3:7" ht="12.75">
      <c r="C269" s="49"/>
      <c r="G269" s="48"/>
    </row>
    <row r="270" spans="3:7" ht="12.75">
      <c r="C270" s="49"/>
      <c r="G270" s="48"/>
    </row>
    <row r="271" spans="3:7" ht="12.75">
      <c r="C271" s="49"/>
      <c r="G271" s="48"/>
    </row>
    <row r="272" spans="3:7" ht="12.75">
      <c r="C272" s="49"/>
      <c r="G272" s="48"/>
    </row>
    <row r="273" spans="3:7" ht="12.75">
      <c r="C273" s="49"/>
      <c r="G273" s="48"/>
    </row>
    <row r="274" spans="3:7" ht="12.75">
      <c r="C274" s="49"/>
      <c r="G274" s="48"/>
    </row>
    <row r="275" spans="3:7" ht="12.75">
      <c r="C275" s="49"/>
      <c r="G275" s="48"/>
    </row>
    <row r="276" spans="3:7" ht="12.75">
      <c r="C276" s="49"/>
      <c r="G276" s="48"/>
    </row>
    <row r="277" spans="3:7" ht="12.75">
      <c r="C277" s="49"/>
      <c r="G277" s="48"/>
    </row>
    <row r="278" spans="3:7" ht="12.75">
      <c r="C278" s="49"/>
      <c r="G278" s="48"/>
    </row>
    <row r="279" spans="3:7" ht="12.75">
      <c r="C279" s="49"/>
      <c r="G279" s="48"/>
    </row>
    <row r="280" spans="3:7" ht="12.75">
      <c r="C280" s="49"/>
      <c r="G280" s="48"/>
    </row>
    <row r="281" spans="3:7" ht="12.75">
      <c r="C281" s="49"/>
      <c r="G281" s="48"/>
    </row>
    <row r="282" spans="3:7" ht="12.75">
      <c r="C282" s="49"/>
      <c r="G282" s="48"/>
    </row>
    <row r="283" spans="3:7" ht="12.75">
      <c r="C283" s="49"/>
      <c r="G283" s="48"/>
    </row>
    <row r="284" spans="3:7" ht="12.75">
      <c r="C284" s="49"/>
      <c r="G284" s="48"/>
    </row>
    <row r="285" spans="3:7" ht="12.75">
      <c r="C285" s="49"/>
      <c r="G285" s="48"/>
    </row>
    <row r="286" spans="3:7" ht="12.75">
      <c r="C286" s="49"/>
      <c r="G286" s="48"/>
    </row>
    <row r="287" spans="3:7" ht="12.75">
      <c r="C287" s="49"/>
      <c r="G287" s="48"/>
    </row>
    <row r="288" spans="3:7" ht="12.75">
      <c r="C288" s="49"/>
      <c r="G288" s="48"/>
    </row>
    <row r="289" spans="3:7" ht="12.75">
      <c r="C289" s="49"/>
      <c r="G289" s="48"/>
    </row>
    <row r="290" spans="3:7" ht="12.75">
      <c r="C290" s="49"/>
      <c r="G290" s="48"/>
    </row>
    <row r="291" spans="3:7" ht="12.75">
      <c r="C291" s="49"/>
      <c r="G291" s="48"/>
    </row>
    <row r="292" spans="3:7" ht="12.75">
      <c r="C292" s="49"/>
      <c r="G292" s="48"/>
    </row>
    <row r="293" spans="3:7" ht="12.75">
      <c r="C293" s="49"/>
      <c r="G293" s="48"/>
    </row>
    <row r="294" spans="3:7" ht="12.75">
      <c r="C294" s="49"/>
      <c r="G294" s="48"/>
    </row>
    <row r="295" spans="3:7" ht="12.75">
      <c r="C295" s="49"/>
      <c r="G295" s="48"/>
    </row>
    <row r="296" spans="3:7" ht="12.75">
      <c r="C296" s="49"/>
      <c r="G296" s="48"/>
    </row>
    <row r="297" spans="3:7" ht="12.75">
      <c r="C297" s="49"/>
      <c r="G297" s="48"/>
    </row>
    <row r="298" spans="3:7" ht="12.75">
      <c r="C298" s="49"/>
      <c r="G298" s="48"/>
    </row>
    <row r="299" spans="3:7" ht="12.75">
      <c r="C299" s="49"/>
      <c r="G299" s="48"/>
    </row>
    <row r="300" spans="3:7" ht="12.75">
      <c r="C300" s="49"/>
      <c r="G300" s="48"/>
    </row>
    <row r="301" spans="3:7" ht="12.75">
      <c r="C301" s="49"/>
      <c r="G301" s="48"/>
    </row>
    <row r="302" spans="3:7" ht="12.75">
      <c r="C302" s="49"/>
      <c r="G302" s="48"/>
    </row>
    <row r="303" spans="3:7" ht="12.75">
      <c r="C303" s="49"/>
      <c r="G303" s="48"/>
    </row>
    <row r="304" spans="3:7" ht="12.75">
      <c r="C304" s="49"/>
      <c r="G304" s="48"/>
    </row>
    <row r="305" spans="3:7" ht="12.75">
      <c r="C305" s="49"/>
      <c r="G305" s="48"/>
    </row>
    <row r="306" spans="3:7" ht="12.75">
      <c r="C306" s="49"/>
      <c r="G306" s="48"/>
    </row>
    <row r="307" spans="3:7" ht="12.75">
      <c r="C307" s="49"/>
      <c r="G307" s="48"/>
    </row>
    <row r="308" spans="3:7" ht="12.75">
      <c r="C308" s="49"/>
      <c r="G308" s="48"/>
    </row>
    <row r="309" spans="3:7" ht="12.75">
      <c r="C309" s="49"/>
      <c r="G309" s="48"/>
    </row>
    <row r="310" spans="3:7" ht="12.75">
      <c r="C310" s="49"/>
      <c r="G310" s="48"/>
    </row>
    <row r="311" spans="3:7" ht="12.75">
      <c r="C311" s="49"/>
      <c r="G311" s="48"/>
    </row>
    <row r="312" spans="3:7" ht="12.75">
      <c r="C312" s="49"/>
      <c r="G312" s="48"/>
    </row>
    <row r="313" spans="3:7" ht="12.75">
      <c r="C313" s="49"/>
      <c r="G313" s="48"/>
    </row>
    <row r="314" spans="3:7" ht="12.75">
      <c r="C314" s="49"/>
      <c r="G314" s="48"/>
    </row>
    <row r="315" spans="3:7" ht="12.75">
      <c r="C315" s="49"/>
      <c r="G315" s="48"/>
    </row>
    <row r="316" spans="3:7" ht="12.75">
      <c r="C316" s="49"/>
      <c r="G316" s="48"/>
    </row>
    <row r="317" spans="3:7" ht="12.75">
      <c r="C317" s="49"/>
      <c r="G317" s="48"/>
    </row>
    <row r="318" spans="3:7" ht="12.75">
      <c r="C318" s="49"/>
      <c r="G318" s="48"/>
    </row>
    <row r="319" spans="3:7" ht="12.75">
      <c r="C319" s="49"/>
      <c r="G319" s="48"/>
    </row>
    <row r="320" spans="3:7" ht="12.75">
      <c r="C320" s="49"/>
      <c r="G320" s="48"/>
    </row>
    <row r="321" spans="3:7" ht="12.75">
      <c r="C321" s="49"/>
      <c r="G321" s="48"/>
    </row>
    <row r="322" spans="3:7" ht="12.75">
      <c r="C322" s="49"/>
      <c r="G322" s="48"/>
    </row>
    <row r="323" spans="3:7" ht="12.75">
      <c r="C323" s="49"/>
      <c r="G323" s="48"/>
    </row>
    <row r="324" spans="3:7" ht="12.75">
      <c r="C324" s="49"/>
      <c r="G324" s="48"/>
    </row>
    <row r="325" spans="3:7" ht="12.75">
      <c r="C325" s="49"/>
      <c r="G325" s="48"/>
    </row>
    <row r="326" spans="3:7" ht="12.75">
      <c r="C326" s="49"/>
      <c r="G326" s="48"/>
    </row>
    <row r="327" spans="3:7" ht="12.75">
      <c r="C327" s="49"/>
      <c r="G327" s="48"/>
    </row>
    <row r="328" spans="3:7" ht="12.75">
      <c r="C328" s="49"/>
      <c r="G328" s="48"/>
    </row>
    <row r="329" spans="3:7" ht="12.75">
      <c r="C329" s="49"/>
      <c r="G329" s="48"/>
    </row>
    <row r="330" spans="3:7" ht="12.75">
      <c r="C330" s="49"/>
      <c r="G330" s="48"/>
    </row>
    <row r="331" spans="3:7" ht="12.75">
      <c r="C331" s="49"/>
      <c r="G331" s="48"/>
    </row>
    <row r="332" spans="3:7" ht="12.75">
      <c r="C332" s="49"/>
      <c r="G332" s="48"/>
    </row>
    <row r="333" spans="3:7" ht="12.75">
      <c r="C333" s="49"/>
      <c r="G333" s="48"/>
    </row>
    <row r="334" spans="3:7" ht="12.75">
      <c r="C334" s="49"/>
      <c r="G334" s="48"/>
    </row>
    <row r="335" spans="3:7" ht="12.75">
      <c r="C335" s="49"/>
      <c r="G335" s="48"/>
    </row>
    <row r="336" spans="3:7" ht="12.75">
      <c r="C336" s="49"/>
      <c r="G336" s="48"/>
    </row>
    <row r="337" spans="3:7" ht="12.75">
      <c r="C337" s="49"/>
      <c r="G337" s="48"/>
    </row>
    <row r="338" spans="3:7" ht="12.75">
      <c r="C338" s="49"/>
      <c r="G338" s="48"/>
    </row>
    <row r="339" spans="3:7" ht="12.75">
      <c r="C339" s="49"/>
      <c r="G339" s="48"/>
    </row>
    <row r="340" spans="3:7" ht="12.75">
      <c r="C340" s="49"/>
      <c r="G340" s="48"/>
    </row>
    <row r="341" spans="3:7" ht="12.75">
      <c r="C341" s="49"/>
      <c r="G341" s="48"/>
    </row>
    <row r="342" spans="3:7" ht="12.75">
      <c r="C342" s="49"/>
      <c r="G342" s="48"/>
    </row>
    <row r="343" spans="3:7" ht="12.75">
      <c r="C343" s="49"/>
      <c r="G343" s="48"/>
    </row>
    <row r="344" spans="3:7" ht="12.75">
      <c r="C344" s="49"/>
      <c r="G344" s="48"/>
    </row>
    <row r="345" spans="3:7" ht="12.75">
      <c r="C345" s="49"/>
      <c r="G345" s="48"/>
    </row>
    <row r="346" spans="3:7" ht="12.75">
      <c r="C346" s="49"/>
      <c r="G346" s="48"/>
    </row>
    <row r="347" spans="3:7" ht="12.75">
      <c r="C347" s="49"/>
      <c r="G347" s="48"/>
    </row>
    <row r="348" spans="3:7" ht="12.75">
      <c r="C348" s="49"/>
      <c r="G348" s="48"/>
    </row>
    <row r="349" spans="3:7" ht="12.75">
      <c r="C349" s="49"/>
      <c r="G349" s="48"/>
    </row>
    <row r="350" spans="3:7" ht="12.75">
      <c r="C350" s="49"/>
      <c r="G350" s="48"/>
    </row>
    <row r="351" spans="3:7" ht="12.75">
      <c r="C351" s="49"/>
      <c r="G351" s="48"/>
    </row>
    <row r="352" spans="3:7" ht="12.75">
      <c r="C352" s="49"/>
      <c r="G352" s="48"/>
    </row>
    <row r="353" spans="3:7" ht="12.75">
      <c r="C353" s="49"/>
      <c r="G353" s="48"/>
    </row>
    <row r="354" spans="3:7" ht="12.75">
      <c r="C354" s="49"/>
      <c r="G354" s="48"/>
    </row>
    <row r="355" spans="3:7" ht="12.75">
      <c r="C355" s="49"/>
      <c r="G355" s="48"/>
    </row>
    <row r="356" spans="3:7" ht="12.75">
      <c r="C356" s="49"/>
      <c r="G356" s="48"/>
    </row>
    <row r="357" spans="3:7" ht="12.75">
      <c r="C357" s="49"/>
      <c r="G357" s="48"/>
    </row>
    <row r="358" spans="3:7" ht="12.75">
      <c r="C358" s="49"/>
      <c r="G358" s="48"/>
    </row>
    <row r="359" spans="3:7" ht="12.75">
      <c r="C359" s="49"/>
      <c r="G359" s="48"/>
    </row>
    <row r="360" spans="3:7" ht="12.75">
      <c r="C360" s="49"/>
      <c r="G360" s="48"/>
    </row>
    <row r="361" spans="3:7" ht="12.75">
      <c r="C361" s="49"/>
      <c r="G361" s="48"/>
    </row>
    <row r="362" spans="3:7" ht="12.75">
      <c r="C362" s="49"/>
      <c r="G362" s="48"/>
    </row>
    <row r="363" spans="3:7" ht="12.75">
      <c r="C363" s="49"/>
      <c r="G363" s="48"/>
    </row>
    <row r="364" spans="3:7" ht="12.75">
      <c r="C364" s="49"/>
      <c r="G364" s="48"/>
    </row>
    <row r="365" spans="3:7" ht="12.75">
      <c r="C365" s="49"/>
      <c r="G365" s="48"/>
    </row>
    <row r="366" spans="3:7" ht="12.75">
      <c r="C366" s="49"/>
      <c r="G366" s="48"/>
    </row>
    <row r="367" spans="3:7" ht="12.75">
      <c r="C367" s="49"/>
      <c r="G367" s="48"/>
    </row>
    <row r="368" spans="3:7" ht="12.75">
      <c r="C368" s="49"/>
      <c r="G368" s="48"/>
    </row>
    <row r="369" spans="3:7" ht="12.75">
      <c r="C369" s="49"/>
      <c r="G369" s="48"/>
    </row>
    <row r="370" spans="3:7" ht="12.75">
      <c r="C370" s="49"/>
      <c r="G370" s="48"/>
    </row>
    <row r="371" spans="3:7" ht="12.75">
      <c r="C371" s="49"/>
      <c r="G371" s="48"/>
    </row>
    <row r="372" spans="3:7" ht="12.75">
      <c r="C372" s="49"/>
      <c r="G372" s="48"/>
    </row>
    <row r="373" spans="3:7" ht="12.75">
      <c r="C373" s="49"/>
      <c r="G373" s="48"/>
    </row>
    <row r="374" spans="3:7" ht="12.75">
      <c r="C374" s="49"/>
      <c r="G374" s="48"/>
    </row>
    <row r="375" spans="3:7" ht="12.75">
      <c r="C375" s="49"/>
      <c r="G375" s="48"/>
    </row>
    <row r="376" spans="3:7" ht="12.75">
      <c r="C376" s="49"/>
      <c r="G376" s="48"/>
    </row>
    <row r="377" spans="3:7" ht="12.75">
      <c r="C377" s="49"/>
      <c r="G377" s="48"/>
    </row>
    <row r="378" spans="3:7" ht="12.75">
      <c r="C378" s="49"/>
      <c r="G378" s="48"/>
    </row>
    <row r="379" spans="3:7" ht="12.75">
      <c r="C379" s="49"/>
      <c r="G379" s="48"/>
    </row>
    <row r="380" spans="3:7" ht="12.75">
      <c r="C380" s="49"/>
      <c r="G380" s="48"/>
    </row>
    <row r="381" spans="3:7" ht="12.75">
      <c r="C381" s="49"/>
      <c r="G381" s="48"/>
    </row>
    <row r="382" spans="3:7" ht="12.75">
      <c r="C382" s="49"/>
      <c r="G382" s="48"/>
    </row>
    <row r="383" spans="3:7" ht="12.75">
      <c r="C383" s="49"/>
      <c r="G383" s="48"/>
    </row>
    <row r="384" spans="3:7" ht="12.75">
      <c r="C384" s="49"/>
      <c r="G384" s="48"/>
    </row>
    <row r="385" spans="3:7" ht="12.75">
      <c r="C385" s="49"/>
      <c r="G385" s="48"/>
    </row>
    <row r="386" spans="3:7" ht="12.75">
      <c r="C386" s="49"/>
      <c r="G386" s="48"/>
    </row>
    <row r="387" spans="3:7" ht="12.75">
      <c r="C387" s="49"/>
      <c r="G387" s="48"/>
    </row>
    <row r="388" spans="3:7" ht="12.75">
      <c r="C388" s="49"/>
      <c r="G388" s="48"/>
    </row>
    <row r="389" spans="3:7" ht="12.75">
      <c r="C389" s="49"/>
      <c r="G389" s="48"/>
    </row>
    <row r="390" spans="3:7" ht="12.75">
      <c r="C390" s="49"/>
      <c r="G390" s="48"/>
    </row>
    <row r="391" spans="3:7" ht="12.75">
      <c r="C391" s="49"/>
      <c r="G391" s="48"/>
    </row>
    <row r="392" spans="3:7" ht="12.75">
      <c r="C392" s="49"/>
      <c r="G392" s="48"/>
    </row>
    <row r="393" spans="3:7" ht="12.75">
      <c r="C393" s="49"/>
      <c r="G393" s="48"/>
    </row>
    <row r="394" spans="3:7" ht="12.75">
      <c r="C394" s="49"/>
      <c r="G394" s="48"/>
    </row>
    <row r="395" spans="3:7" ht="12.75">
      <c r="C395" s="49"/>
      <c r="G395" s="48"/>
    </row>
    <row r="396" spans="3:7" ht="12.75">
      <c r="C396" s="49"/>
      <c r="G396" s="48"/>
    </row>
    <row r="397" spans="3:7" ht="12.75">
      <c r="C397" s="49"/>
      <c r="G397" s="48"/>
    </row>
    <row r="398" spans="3:7" ht="12.75">
      <c r="C398" s="49"/>
      <c r="G398" s="48"/>
    </row>
    <row r="399" spans="3:7" ht="12.75">
      <c r="C399" s="49"/>
      <c r="G399" s="48"/>
    </row>
    <row r="400" spans="3:7" ht="12.75">
      <c r="C400" s="49"/>
      <c r="G400" s="48"/>
    </row>
    <row r="401" spans="3:7" ht="12.75">
      <c r="C401" s="49"/>
      <c r="G401" s="48"/>
    </row>
    <row r="402" spans="3:7" ht="12.75">
      <c r="C402" s="49"/>
      <c r="G402" s="48"/>
    </row>
    <row r="403" spans="3:7" ht="12.75">
      <c r="C403" s="49"/>
      <c r="G403" s="48"/>
    </row>
    <row r="404" spans="3:7" ht="12.75">
      <c r="C404" s="49"/>
      <c r="G404" s="48"/>
    </row>
    <row r="405" spans="3:7" ht="12.75">
      <c r="C405" s="49"/>
      <c r="G405" s="48"/>
    </row>
    <row r="406" spans="3:7" ht="12.75">
      <c r="C406" s="49"/>
      <c r="G406" s="48"/>
    </row>
    <row r="407" spans="3:7" ht="12.75">
      <c r="C407" s="49"/>
      <c r="G407" s="48"/>
    </row>
    <row r="408" spans="3:7" ht="12.75">
      <c r="C408" s="49"/>
      <c r="G408" s="48"/>
    </row>
    <row r="409" spans="3:7" ht="12.75">
      <c r="C409" s="49"/>
      <c r="G409" s="48"/>
    </row>
    <row r="410" spans="3:7" ht="12.75">
      <c r="C410" s="49"/>
      <c r="G410" s="48"/>
    </row>
    <row r="411" spans="3:7" ht="12.75">
      <c r="C411" s="49"/>
      <c r="G411" s="48"/>
    </row>
    <row r="412" spans="3:7" ht="12.75">
      <c r="C412" s="49"/>
      <c r="G412" s="48"/>
    </row>
    <row r="413" spans="3:7" ht="12.75">
      <c r="C413" s="49"/>
      <c r="G413" s="48"/>
    </row>
    <row r="414" spans="3:7" ht="12.75">
      <c r="C414" s="49"/>
      <c r="G414" s="48"/>
    </row>
    <row r="415" spans="3:7" ht="12.75">
      <c r="C415" s="49"/>
      <c r="G415" s="48"/>
    </row>
    <row r="416" spans="3:7" ht="12.75">
      <c r="C416" s="49"/>
      <c r="G416" s="48"/>
    </row>
    <row r="417" spans="3:7" ht="12.75">
      <c r="C417" s="49"/>
      <c r="G417" s="48"/>
    </row>
    <row r="418" spans="3:7" ht="12.75">
      <c r="C418" s="49"/>
      <c r="G418" s="48"/>
    </row>
    <row r="419" spans="3:7" ht="12.75">
      <c r="C419" s="49"/>
      <c r="G419" s="48"/>
    </row>
    <row r="420" spans="3:7" ht="12.75">
      <c r="C420" s="49"/>
      <c r="G420" s="48"/>
    </row>
    <row r="421" spans="3:7" ht="12.75">
      <c r="C421" s="49"/>
      <c r="G421" s="48"/>
    </row>
    <row r="422" spans="3:7" ht="12.75">
      <c r="C422" s="49"/>
      <c r="G422" s="48"/>
    </row>
    <row r="423" spans="3:7" ht="12.75">
      <c r="C423" s="49"/>
      <c r="G423" s="48"/>
    </row>
    <row r="424" spans="3:7" ht="12.75">
      <c r="C424" s="49"/>
      <c r="G424" s="48"/>
    </row>
    <row r="425" spans="3:7" ht="12.75">
      <c r="C425" s="49"/>
      <c r="G425" s="48"/>
    </row>
    <row r="426" spans="3:7" ht="12.75">
      <c r="C426" s="49"/>
      <c r="G426" s="48"/>
    </row>
    <row r="427" spans="3:7" ht="12.75">
      <c r="C427" s="49"/>
      <c r="G427" s="48"/>
    </row>
    <row r="428" spans="3:7" ht="12.75">
      <c r="C428" s="49"/>
      <c r="G428" s="48"/>
    </row>
    <row r="429" spans="3:7" ht="12.75">
      <c r="C429" s="49"/>
      <c r="G429" s="48"/>
    </row>
    <row r="430" spans="3:7" ht="12.75">
      <c r="C430" s="49"/>
      <c r="G430" s="48"/>
    </row>
    <row r="431" spans="3:7" ht="12.75">
      <c r="C431" s="49"/>
      <c r="G431" s="48"/>
    </row>
    <row r="432" spans="3:7" ht="12.75">
      <c r="C432" s="49"/>
      <c r="G432" s="48"/>
    </row>
    <row r="433" spans="3:7" ht="12.75">
      <c r="C433" s="49"/>
      <c r="G433" s="48"/>
    </row>
    <row r="434" spans="3:7" ht="12.75">
      <c r="C434" s="49"/>
      <c r="G434" s="48"/>
    </row>
    <row r="435" spans="3:7" ht="12.75">
      <c r="C435" s="49"/>
      <c r="G435" s="48"/>
    </row>
    <row r="436" spans="3:7" ht="12.75">
      <c r="C436" s="49"/>
      <c r="G436" s="48"/>
    </row>
    <row r="437" spans="3:7" ht="12.75">
      <c r="C437" s="49"/>
      <c r="G437" s="48"/>
    </row>
    <row r="438" spans="3:7" ht="12.75">
      <c r="C438" s="49"/>
      <c r="G438" s="48"/>
    </row>
    <row r="439" spans="3:7" ht="12.75">
      <c r="C439" s="49"/>
      <c r="G439" s="48"/>
    </row>
    <row r="440" spans="3:7" ht="12.75">
      <c r="C440" s="49"/>
      <c r="G440" s="48"/>
    </row>
    <row r="441" spans="3:7" ht="12.75">
      <c r="C441" s="49"/>
      <c r="G441" s="48"/>
    </row>
    <row r="442" spans="3:7" ht="12.75">
      <c r="C442" s="49"/>
      <c r="G442" s="48"/>
    </row>
    <row r="443" spans="3:7" ht="12.75">
      <c r="C443" s="49"/>
      <c r="G443" s="48"/>
    </row>
    <row r="444" spans="3:7" ht="12.75">
      <c r="C444" s="49"/>
      <c r="G444" s="48"/>
    </row>
    <row r="445" spans="3:7" ht="12.75">
      <c r="C445" s="49"/>
      <c r="G445" s="48"/>
    </row>
    <row r="446" spans="3:7" ht="12.75">
      <c r="C446" s="49"/>
      <c r="G446" s="48"/>
    </row>
    <row r="447" spans="3:7" ht="12.75">
      <c r="C447" s="49"/>
      <c r="G447" s="48"/>
    </row>
    <row r="448" spans="3:7" ht="12.75">
      <c r="C448" s="49"/>
      <c r="G448" s="48"/>
    </row>
    <row r="449" spans="3:7" ht="12.75">
      <c r="C449" s="49"/>
      <c r="G449" s="48"/>
    </row>
    <row r="450" spans="3:7" ht="12.75">
      <c r="C450" s="49"/>
      <c r="G450" s="48"/>
    </row>
    <row r="451" spans="3:7" ht="12.75">
      <c r="C451" s="49"/>
      <c r="G451" s="48"/>
    </row>
    <row r="452" spans="3:7" ht="12.75">
      <c r="C452" s="49"/>
      <c r="G452" s="48"/>
    </row>
    <row r="453" spans="3:7" ht="12.75">
      <c r="C453" s="49"/>
      <c r="G453" s="48"/>
    </row>
    <row r="454" spans="3:7" ht="12.75">
      <c r="C454" s="49"/>
      <c r="G454" s="48"/>
    </row>
    <row r="455" spans="3:7" ht="12.75">
      <c r="C455" s="49"/>
      <c r="G455" s="48"/>
    </row>
    <row r="456" spans="3:7" ht="12.75">
      <c r="C456" s="49"/>
      <c r="G456" s="48"/>
    </row>
    <row r="457" spans="3:7" ht="12.75">
      <c r="C457" s="49"/>
      <c r="G457" s="48"/>
    </row>
    <row r="458" spans="3:7" ht="12.75">
      <c r="C458" s="49"/>
      <c r="G458" s="48"/>
    </row>
    <row r="459" spans="3:7" ht="12.75">
      <c r="C459" s="49"/>
      <c r="G459" s="48"/>
    </row>
    <row r="460" spans="3:7" ht="12.75">
      <c r="C460" s="49"/>
      <c r="G460" s="48"/>
    </row>
    <row r="461" spans="3:7" ht="12.75">
      <c r="C461" s="49"/>
      <c r="G461" s="48"/>
    </row>
    <row r="462" spans="3:7" ht="12.75">
      <c r="C462" s="49"/>
      <c r="G462" s="48"/>
    </row>
    <row r="463" spans="3:7" ht="12.75">
      <c r="C463" s="49"/>
      <c r="G463" s="48"/>
    </row>
    <row r="464" spans="3:7" ht="12.75">
      <c r="C464" s="49"/>
      <c r="G464" s="48"/>
    </row>
    <row r="465" spans="3:7" ht="12.75">
      <c r="C465" s="49"/>
      <c r="G465" s="48"/>
    </row>
    <row r="466" spans="3:7" ht="12.75">
      <c r="C466" s="49"/>
      <c r="G466" s="48"/>
    </row>
    <row r="467" spans="3:7" ht="12.75">
      <c r="C467" s="49"/>
      <c r="G467" s="48"/>
    </row>
    <row r="468" spans="3:7" ht="12.75">
      <c r="C468" s="49"/>
      <c r="G468" s="48"/>
    </row>
    <row r="469" spans="3:7" ht="12.75">
      <c r="C469" s="49"/>
      <c r="G469" s="48"/>
    </row>
    <row r="470" spans="3:7" ht="12.75">
      <c r="C470" s="49"/>
      <c r="G470" s="48"/>
    </row>
    <row r="471" spans="3:7" ht="12.75">
      <c r="C471" s="49"/>
      <c r="G471" s="48"/>
    </row>
    <row r="472" spans="3:7" ht="12.75">
      <c r="C472" s="49"/>
      <c r="G472" s="48"/>
    </row>
    <row r="473" spans="3:7" ht="12.75">
      <c r="C473" s="49"/>
      <c r="G473" s="48"/>
    </row>
    <row r="474" spans="3:7" ht="12.75">
      <c r="C474" s="49"/>
      <c r="G474" s="48"/>
    </row>
    <row r="475" spans="3:7" ht="12.75">
      <c r="C475" s="49"/>
      <c r="G475" s="48"/>
    </row>
    <row r="476" spans="3:7" ht="12.75">
      <c r="C476" s="49"/>
      <c r="G476" s="48"/>
    </row>
    <row r="477" spans="3:7" ht="12.75">
      <c r="C477" s="49"/>
      <c r="G477" s="48"/>
    </row>
    <row r="478" spans="3:7" ht="12.75">
      <c r="C478" s="49"/>
      <c r="G478" s="48"/>
    </row>
    <row r="479" spans="3:7" ht="12.75">
      <c r="C479" s="49"/>
      <c r="G479" s="48"/>
    </row>
    <row r="480" spans="3:7" ht="12.75">
      <c r="C480" s="49"/>
      <c r="G480" s="48"/>
    </row>
    <row r="481" spans="3:7" ht="12.75">
      <c r="C481" s="49"/>
      <c r="G481" s="48"/>
    </row>
    <row r="482" spans="3:7" ht="12.75">
      <c r="C482" s="49"/>
      <c r="G482" s="48"/>
    </row>
    <row r="483" spans="3:7" ht="12.75">
      <c r="C483" s="49"/>
      <c r="G483" s="48"/>
    </row>
    <row r="484" spans="3:7" ht="12.75">
      <c r="C484" s="49"/>
      <c r="G484" s="48"/>
    </row>
    <row r="485" spans="3:7" ht="12.75">
      <c r="C485" s="49"/>
      <c r="G485" s="48"/>
    </row>
    <row r="486" spans="3:7" ht="12.75">
      <c r="C486" s="49"/>
      <c r="G486" s="48"/>
    </row>
    <row r="487" spans="3:7" ht="12.75">
      <c r="C487" s="49"/>
      <c r="G487" s="48"/>
    </row>
    <row r="488" spans="3:7" ht="12.75">
      <c r="C488" s="49"/>
      <c r="G488" s="48"/>
    </row>
    <row r="489" spans="3:7" ht="12.75">
      <c r="C489" s="49"/>
      <c r="G489" s="48"/>
    </row>
    <row r="490" spans="3:7" ht="12.75">
      <c r="C490" s="49"/>
      <c r="G490" s="48"/>
    </row>
    <row r="491" spans="3:7" ht="12.75">
      <c r="C491" s="49"/>
      <c r="G491" s="48"/>
    </row>
    <row r="492" spans="3:7" ht="12.75">
      <c r="C492" s="49"/>
      <c r="G492" s="48"/>
    </row>
    <row r="493" spans="3:7" ht="12.75">
      <c r="C493" s="49"/>
      <c r="G493" s="48"/>
    </row>
    <row r="494" spans="3:7" ht="12.75">
      <c r="C494" s="49"/>
      <c r="G494" s="48"/>
    </row>
    <row r="495" spans="3:7" ht="12.75">
      <c r="C495" s="49"/>
      <c r="G495" s="48"/>
    </row>
    <row r="496" spans="3:7" ht="12.75">
      <c r="C496" s="49"/>
      <c r="G496" s="48"/>
    </row>
    <row r="497" spans="3:7" ht="12.75">
      <c r="C497" s="49"/>
      <c r="G497" s="48"/>
    </row>
    <row r="498" spans="3:7" ht="12.75">
      <c r="C498" s="49"/>
      <c r="G498" s="48"/>
    </row>
    <row r="499" spans="3:7" ht="12.75">
      <c r="C499" s="49"/>
      <c r="G499" s="48"/>
    </row>
    <row r="500" spans="3:7" ht="12.75">
      <c r="C500" s="49"/>
      <c r="G500" s="48"/>
    </row>
    <row r="501" spans="3:7" ht="12.75">
      <c r="C501" s="49"/>
      <c r="G501" s="48"/>
    </row>
    <row r="502" spans="3:7" ht="12.75">
      <c r="C502" s="49"/>
      <c r="G502" s="48"/>
    </row>
    <row r="503" spans="3:7" ht="12.75">
      <c r="C503" s="49"/>
      <c r="G503" s="48"/>
    </row>
    <row r="504" spans="3:7" ht="12.75">
      <c r="C504" s="49"/>
      <c r="G504" s="48"/>
    </row>
    <row r="505" spans="3:7" ht="12.75">
      <c r="C505" s="49"/>
      <c r="G505" s="48"/>
    </row>
    <row r="506" spans="3:7" ht="12.75">
      <c r="C506" s="49"/>
      <c r="G506" s="48"/>
    </row>
    <row r="507" spans="3:7" ht="12.75">
      <c r="C507" s="49"/>
      <c r="G507" s="48"/>
    </row>
    <row r="508" spans="3:7" ht="12.75">
      <c r="C508" s="49"/>
      <c r="G508" s="48"/>
    </row>
    <row r="509" spans="3:7" ht="12.75">
      <c r="C509" s="49"/>
      <c r="G509" s="48"/>
    </row>
    <row r="510" spans="3:7" ht="12.75">
      <c r="C510" s="49"/>
      <c r="G510" s="48"/>
    </row>
    <row r="511" spans="3:7" ht="12.75">
      <c r="C511" s="49"/>
      <c r="G511" s="48"/>
    </row>
    <row r="512" spans="3:7" ht="12.75">
      <c r="C512" s="49"/>
      <c r="G512" s="48"/>
    </row>
    <row r="513" spans="3:7" ht="12.75">
      <c r="C513" s="49"/>
      <c r="G513" s="48"/>
    </row>
    <row r="514" spans="3:7" ht="12.75">
      <c r="C514" s="49"/>
      <c r="G514" s="48"/>
    </row>
    <row r="515" spans="3:7" ht="12.75">
      <c r="C515" s="49"/>
      <c r="G515" s="48"/>
    </row>
    <row r="516" spans="3:7" ht="12.75">
      <c r="C516" s="49"/>
      <c r="G516" s="48"/>
    </row>
    <row r="517" spans="3:7" ht="12.75">
      <c r="C517" s="49"/>
      <c r="G517" s="48"/>
    </row>
    <row r="518" spans="3:7" ht="12.75">
      <c r="C518" s="49"/>
      <c r="G518" s="48"/>
    </row>
    <row r="519" spans="3:7" ht="12.75">
      <c r="C519" s="49"/>
      <c r="G519" s="48"/>
    </row>
    <row r="520" spans="3:7" ht="12.75">
      <c r="C520" s="49"/>
      <c r="G520" s="48"/>
    </row>
    <row r="521" spans="3:7" ht="12.75">
      <c r="C521" s="49"/>
      <c r="G521" s="48"/>
    </row>
    <row r="522" spans="3:7" ht="12.75">
      <c r="C522" s="49"/>
      <c r="G522" s="48"/>
    </row>
    <row r="523" spans="3:7" ht="12.75">
      <c r="C523" s="49"/>
      <c r="G523" s="48"/>
    </row>
    <row r="524" spans="3:7" ht="12.75">
      <c r="C524" s="49"/>
      <c r="G524" s="48"/>
    </row>
    <row r="525" spans="3:7" ht="12.75">
      <c r="C525" s="49"/>
      <c r="G525" s="48"/>
    </row>
    <row r="526" spans="3:7" ht="12.75">
      <c r="C526" s="49"/>
      <c r="G526" s="48"/>
    </row>
    <row r="527" spans="3:7" ht="12.75">
      <c r="C527" s="49"/>
      <c r="G527" s="48"/>
    </row>
    <row r="528" spans="3:7" ht="12.75">
      <c r="C528" s="49"/>
      <c r="G528" s="48"/>
    </row>
    <row r="529" spans="3:7" ht="12.75">
      <c r="C529" s="49"/>
      <c r="G529" s="48"/>
    </row>
    <row r="530" spans="3:7" ht="12.75">
      <c r="C530" s="49"/>
      <c r="G530" s="48"/>
    </row>
    <row r="531" spans="3:7" ht="12.75">
      <c r="C531" s="49"/>
      <c r="G531" s="48"/>
    </row>
    <row r="532" spans="3:7" ht="12.75">
      <c r="C532" s="49"/>
      <c r="G532" s="48"/>
    </row>
    <row r="533" spans="3:7" ht="12.75">
      <c r="C533" s="49"/>
      <c r="G533" s="48"/>
    </row>
    <row r="534" spans="3:7" ht="12.75">
      <c r="C534" s="49"/>
      <c r="G534" s="48"/>
    </row>
    <row r="535" spans="3:7" ht="12.75">
      <c r="C535" s="49"/>
      <c r="G535" s="48"/>
    </row>
    <row r="536" spans="3:7" ht="12.75">
      <c r="C536" s="49"/>
      <c r="G536" s="48"/>
    </row>
    <row r="537" spans="3:7" ht="12.75">
      <c r="C537" s="49"/>
      <c r="G537" s="48"/>
    </row>
    <row r="538" spans="3:7" ht="12.75">
      <c r="C538" s="49"/>
      <c r="G538" s="48"/>
    </row>
    <row r="539" spans="3:7" ht="12.75">
      <c r="C539" s="49"/>
      <c r="G539" s="48"/>
    </row>
    <row r="540" spans="3:7" ht="12.75">
      <c r="C540" s="49"/>
      <c r="G540" s="48"/>
    </row>
    <row r="541" spans="3:7" ht="12.75">
      <c r="C541" s="49"/>
      <c r="G541" s="48"/>
    </row>
    <row r="542" spans="3:7" ht="12.75">
      <c r="C542" s="49"/>
      <c r="G542" s="48"/>
    </row>
    <row r="543" spans="3:7" ht="12.75">
      <c r="C543" s="49"/>
      <c r="G543" s="48"/>
    </row>
    <row r="544" spans="3:7" ht="12.75">
      <c r="C544" s="49"/>
      <c r="G544" s="48"/>
    </row>
    <row r="545" spans="3:7" ht="12.75">
      <c r="C545" s="49"/>
      <c r="G545" s="48"/>
    </row>
    <row r="546" spans="3:7" ht="12.75">
      <c r="C546" s="49"/>
      <c r="G546" s="48"/>
    </row>
    <row r="547" spans="3:7" ht="12.75">
      <c r="C547" s="49"/>
      <c r="G547" s="48"/>
    </row>
    <row r="548" spans="3:7" ht="12.75">
      <c r="C548" s="49"/>
      <c r="G548" s="48"/>
    </row>
    <row r="549" spans="3:7" ht="12.75">
      <c r="C549" s="49"/>
      <c r="G549" s="48"/>
    </row>
    <row r="550" spans="3:7" ht="12.75">
      <c r="C550" s="49"/>
      <c r="G550" s="48"/>
    </row>
    <row r="551" spans="3:7" ht="12.75">
      <c r="C551" s="49"/>
      <c r="G551" s="48"/>
    </row>
    <row r="552" spans="3:7" ht="12.75">
      <c r="C552" s="49"/>
      <c r="G552" s="48"/>
    </row>
    <row r="553" spans="3:7" ht="12.75">
      <c r="C553" s="49"/>
      <c r="G553" s="48"/>
    </row>
    <row r="554" spans="3:7" ht="12.75">
      <c r="C554" s="49"/>
      <c r="G554" s="48"/>
    </row>
    <row r="555" spans="3:7" ht="12.75">
      <c r="C555" s="49"/>
      <c r="G555" s="48"/>
    </row>
    <row r="556" spans="3:7" ht="12.75">
      <c r="C556" s="49"/>
      <c r="G556" s="48"/>
    </row>
    <row r="557" spans="3:7" ht="12.75">
      <c r="C557" s="49"/>
      <c r="G557" s="48"/>
    </row>
    <row r="558" spans="3:7" ht="12.75">
      <c r="C558" s="49"/>
      <c r="G558" s="48"/>
    </row>
    <row r="559" spans="3:7" ht="12.75">
      <c r="C559" s="49"/>
      <c r="G559" s="48"/>
    </row>
    <row r="560" spans="3:7" ht="12.75">
      <c r="C560" s="49"/>
      <c r="G560" s="48"/>
    </row>
    <row r="561" spans="3:7" ht="12.75">
      <c r="C561" s="49"/>
      <c r="G561" s="48"/>
    </row>
    <row r="562" spans="3:7" ht="12.75">
      <c r="C562" s="49"/>
      <c r="G562" s="48"/>
    </row>
    <row r="563" spans="3:7" ht="12.75">
      <c r="C563" s="49"/>
      <c r="G563" s="48"/>
    </row>
    <row r="564" spans="3:7" ht="12.75">
      <c r="C564" s="49"/>
      <c r="G564" s="48"/>
    </row>
    <row r="565" spans="3:7" ht="12.75">
      <c r="C565" s="49"/>
      <c r="G565" s="48"/>
    </row>
    <row r="566" spans="3:7" ht="12.75">
      <c r="C566" s="49"/>
      <c r="G566" s="48"/>
    </row>
    <row r="567" spans="3:7" ht="12.75">
      <c r="C567" s="49"/>
      <c r="G567" s="48"/>
    </row>
    <row r="568" spans="3:7" ht="12.75">
      <c r="C568" s="49"/>
      <c r="G568" s="48"/>
    </row>
    <row r="569" spans="3:7" ht="12.75">
      <c r="C569" s="49"/>
      <c r="G569" s="48"/>
    </row>
    <row r="570" spans="3:7" ht="12.75">
      <c r="C570" s="49"/>
      <c r="G570" s="48"/>
    </row>
    <row r="571" spans="3:7" ht="12.75">
      <c r="C571" s="49"/>
      <c r="G571" s="48"/>
    </row>
    <row r="572" spans="3:7" ht="12.75">
      <c r="C572" s="49"/>
      <c r="G572" s="48"/>
    </row>
    <row r="573" spans="3:7" ht="12.75">
      <c r="C573" s="49"/>
      <c r="G573" s="48"/>
    </row>
    <row r="574" spans="3:7" ht="12.75">
      <c r="C574" s="49"/>
      <c r="G574" s="48"/>
    </row>
    <row r="575" spans="3:7" ht="12.75">
      <c r="C575" s="49"/>
      <c r="G575" s="48"/>
    </row>
    <row r="576" spans="3:7" ht="12.75">
      <c r="C576" s="49"/>
      <c r="G576" s="48"/>
    </row>
    <row r="577" spans="3:7" ht="12.75">
      <c r="C577" s="49"/>
      <c r="G577" s="48"/>
    </row>
    <row r="578" spans="3:7" ht="12.75">
      <c r="C578" s="49"/>
      <c r="G578" s="48"/>
    </row>
    <row r="579" spans="3:7" ht="12.75">
      <c r="C579" s="49"/>
      <c r="G579" s="48"/>
    </row>
    <row r="580" spans="3:7" ht="12.75">
      <c r="C580" s="49"/>
      <c r="G580" s="48"/>
    </row>
    <row r="581" spans="3:7" ht="12.75">
      <c r="C581" s="49"/>
      <c r="G581" s="48"/>
    </row>
    <row r="582" spans="3:7" ht="12.75">
      <c r="C582" s="49"/>
      <c r="G582" s="48"/>
    </row>
    <row r="583" spans="3:7" ht="12.75">
      <c r="C583" s="49"/>
      <c r="G583" s="48"/>
    </row>
    <row r="584" spans="3:7" ht="12.75">
      <c r="C584" s="49"/>
      <c r="G584" s="48"/>
    </row>
    <row r="585" spans="3:7" ht="12.75">
      <c r="C585" s="49"/>
      <c r="G585" s="48"/>
    </row>
    <row r="586" spans="3:7" ht="12.75">
      <c r="C586" s="49"/>
      <c r="G586" s="48"/>
    </row>
    <row r="587" spans="3:7" ht="12.75">
      <c r="C587" s="49"/>
      <c r="G587" s="48"/>
    </row>
    <row r="588" spans="3:7" ht="12.75">
      <c r="C588" s="49"/>
      <c r="G588" s="48"/>
    </row>
    <row r="589" spans="3:7" ht="12.75">
      <c r="C589" s="49"/>
      <c r="G589" s="48"/>
    </row>
    <row r="590" spans="3:7" ht="12.75">
      <c r="C590" s="49"/>
      <c r="G590" s="48"/>
    </row>
    <row r="591" spans="3:7" ht="12.75">
      <c r="C591" s="49"/>
      <c r="G591" s="48"/>
    </row>
    <row r="592" spans="3:7" ht="12.75">
      <c r="C592" s="49"/>
      <c r="G592" s="48"/>
    </row>
    <row r="593" spans="3:7" ht="12.75">
      <c r="C593" s="49"/>
      <c r="G593" s="48"/>
    </row>
    <row r="594" spans="3:7" ht="12.75">
      <c r="C594" s="49"/>
      <c r="G594" s="48"/>
    </row>
    <row r="595" spans="3:7" ht="12.75">
      <c r="C595" s="49"/>
      <c r="G595" s="48"/>
    </row>
    <row r="596" spans="3:7" ht="12.75">
      <c r="C596" s="49"/>
      <c r="G596" s="48"/>
    </row>
    <row r="597" spans="3:7" ht="12.75">
      <c r="C597" s="49"/>
      <c r="G597" s="48"/>
    </row>
    <row r="598" spans="3:7" ht="12.75">
      <c r="C598" s="49"/>
      <c r="G598" s="48"/>
    </row>
    <row r="599" spans="3:7" ht="12.75">
      <c r="C599" s="49"/>
      <c r="G599" s="48"/>
    </row>
    <row r="600" spans="3:7" ht="12.75">
      <c r="C600" s="49"/>
      <c r="G600" s="48"/>
    </row>
    <row r="601" spans="3:7" ht="12.75">
      <c r="C601" s="49"/>
      <c r="G601" s="48"/>
    </row>
    <row r="602" spans="3:7" ht="12.75">
      <c r="C602" s="49"/>
      <c r="G602" s="48"/>
    </row>
    <row r="603" spans="3:7" ht="12.75">
      <c r="C603" s="49"/>
      <c r="G603" s="48"/>
    </row>
    <row r="604" spans="3:7" ht="12.75">
      <c r="C604" s="49"/>
      <c r="G604" s="48"/>
    </row>
    <row r="605" spans="3:7" ht="12.75">
      <c r="C605" s="49"/>
      <c r="G605" s="48"/>
    </row>
    <row r="606" spans="3:7" ht="12.75">
      <c r="C606" s="49"/>
      <c r="G606" s="48"/>
    </row>
    <row r="607" spans="3:7" ht="12.75">
      <c r="C607" s="49"/>
      <c r="G607" s="48"/>
    </row>
    <row r="608" spans="3:7" ht="12.75">
      <c r="C608" s="49"/>
      <c r="G608" s="48"/>
    </row>
    <row r="609" spans="3:7" ht="12.75">
      <c r="C609" s="49"/>
      <c r="G609" s="48"/>
    </row>
    <row r="610" spans="3:7" ht="12.75">
      <c r="C610" s="49"/>
      <c r="G610" s="48"/>
    </row>
    <row r="611" spans="3:7" ht="12.75">
      <c r="C611" s="49"/>
      <c r="G611" s="48"/>
    </row>
    <row r="612" spans="3:7" ht="12.75">
      <c r="C612" s="49"/>
      <c r="G612" s="48"/>
    </row>
    <row r="613" spans="3:7" ht="12.75">
      <c r="C613" s="49"/>
      <c r="G613" s="48"/>
    </row>
    <row r="614" spans="3:7" ht="12.75">
      <c r="C614" s="49"/>
      <c r="G614" s="48"/>
    </row>
    <row r="615" spans="3:7" ht="12.75">
      <c r="C615" s="49"/>
      <c r="G615" s="48"/>
    </row>
    <row r="616" spans="3:7" ht="12.75">
      <c r="C616" s="49"/>
      <c r="G616" s="48"/>
    </row>
    <row r="617" spans="3:7" ht="12.75">
      <c r="C617" s="49"/>
      <c r="G617" s="48"/>
    </row>
    <row r="618" spans="3:7" ht="12.75">
      <c r="C618" s="49"/>
      <c r="G618" s="48"/>
    </row>
    <row r="619" spans="3:7" ht="12.75">
      <c r="C619" s="49"/>
      <c r="G619" s="48"/>
    </row>
    <row r="620" spans="3:7" ht="12.75">
      <c r="C620" s="49"/>
      <c r="G620" s="48"/>
    </row>
    <row r="621" spans="3:7" ht="12.75">
      <c r="C621" s="49"/>
      <c r="G621" s="48"/>
    </row>
    <row r="622" spans="3:7" ht="12.75">
      <c r="C622" s="49"/>
      <c r="G622" s="48"/>
    </row>
    <row r="623" spans="3:7" ht="12.75">
      <c r="C623" s="49"/>
      <c r="G623" s="48"/>
    </row>
    <row r="624" spans="3:7" ht="12.75">
      <c r="C624" s="49"/>
      <c r="G624" s="48"/>
    </row>
    <row r="625" spans="3:7" ht="12.75">
      <c r="C625" s="49"/>
      <c r="G625" s="48"/>
    </row>
    <row r="626" spans="3:7" ht="12.75">
      <c r="C626" s="49"/>
      <c r="G626" s="48"/>
    </row>
    <row r="627" spans="3:7" ht="12.75">
      <c r="C627" s="49"/>
      <c r="G627" s="48"/>
    </row>
    <row r="628" spans="3:7" ht="12.75">
      <c r="C628" s="49"/>
      <c r="G628" s="48"/>
    </row>
    <row r="629" spans="3:7" ht="12.75">
      <c r="C629" s="49"/>
      <c r="G629" s="48"/>
    </row>
    <row r="630" spans="3:7" ht="12.75">
      <c r="C630" s="49"/>
      <c r="G630" s="48"/>
    </row>
    <row r="631" spans="3:7" ht="12.75">
      <c r="C631" s="49"/>
      <c r="G631" s="48"/>
    </row>
    <row r="632" spans="3:7" ht="12.75">
      <c r="C632" s="49"/>
      <c r="G632" s="48"/>
    </row>
    <row r="633" spans="3:7" ht="12.75">
      <c r="C633" s="49"/>
      <c r="G633" s="48"/>
    </row>
    <row r="634" spans="3:7" ht="12.75">
      <c r="C634" s="49"/>
      <c r="G634" s="48"/>
    </row>
    <row r="635" spans="3:7" ht="12.75">
      <c r="C635" s="49"/>
      <c r="G635" s="48"/>
    </row>
    <row r="636" spans="3:7" ht="12.75">
      <c r="C636" s="49"/>
      <c r="G636" s="48"/>
    </row>
    <row r="637" spans="3:7" ht="12.75">
      <c r="C637" s="49"/>
      <c r="G637" s="48"/>
    </row>
    <row r="638" spans="3:7" ht="12.75">
      <c r="C638" s="49"/>
      <c r="G638" s="48"/>
    </row>
    <row r="639" spans="3:7" ht="12.75">
      <c r="C639" s="49"/>
      <c r="G639" s="48"/>
    </row>
    <row r="640" spans="3:7" ht="12.75">
      <c r="C640" s="49"/>
      <c r="G640" s="48"/>
    </row>
    <row r="641" spans="3:7" ht="12.75">
      <c r="C641" s="49"/>
      <c r="G641" s="48"/>
    </row>
    <row r="642" spans="3:7" ht="12.75">
      <c r="C642" s="49"/>
      <c r="G642" s="48"/>
    </row>
    <row r="643" spans="3:7" ht="12.75">
      <c r="C643" s="49"/>
      <c r="G643" s="48"/>
    </row>
    <row r="644" spans="3:7" ht="12.75">
      <c r="C644" s="49"/>
      <c r="G644" s="48"/>
    </row>
    <row r="645" spans="3:7" ht="12.75">
      <c r="C645" s="49"/>
      <c r="G645" s="48"/>
    </row>
    <row r="646" spans="3:7" ht="12.75">
      <c r="C646" s="49"/>
      <c r="G646" s="48"/>
    </row>
    <row r="647" spans="3:7" ht="12.75">
      <c r="C647" s="49"/>
      <c r="G647" s="48"/>
    </row>
    <row r="648" spans="3:7" ht="12.75">
      <c r="C648" s="49"/>
      <c r="G648" s="48"/>
    </row>
    <row r="649" spans="3:7" ht="12.75">
      <c r="C649" s="49"/>
      <c r="G649" s="48"/>
    </row>
    <row r="650" spans="3:7" ht="12.75">
      <c r="C650" s="49"/>
      <c r="G650" s="48"/>
    </row>
    <row r="651" spans="3:7" ht="12.75">
      <c r="C651" s="49"/>
      <c r="G651" s="48"/>
    </row>
    <row r="652" spans="3:7" ht="12.75">
      <c r="C652" s="49"/>
      <c r="G652" s="48"/>
    </row>
    <row r="653" spans="3:7" ht="12.75">
      <c r="C653" s="49"/>
      <c r="G653" s="48"/>
    </row>
    <row r="654" spans="3:7" ht="12.75">
      <c r="C654" s="49"/>
      <c r="G654" s="48"/>
    </row>
    <row r="655" spans="3:7" ht="12.75">
      <c r="C655" s="49"/>
      <c r="G655" s="48"/>
    </row>
    <row r="656" spans="3:7" ht="12.75">
      <c r="C656" s="49"/>
      <c r="G656" s="48"/>
    </row>
    <row r="657" spans="3:7" ht="12.75">
      <c r="C657" s="49"/>
      <c r="G657" s="48"/>
    </row>
    <row r="658" spans="3:7" ht="12.75">
      <c r="C658" s="49"/>
      <c r="G658" s="48"/>
    </row>
    <row r="659" spans="3:7" ht="12.75">
      <c r="C659" s="49"/>
      <c r="G659" s="48"/>
    </row>
    <row r="660" spans="3:7" ht="12.75">
      <c r="C660" s="49"/>
      <c r="G660" s="48"/>
    </row>
    <row r="661" spans="3:7" ht="12.75">
      <c r="C661" s="49"/>
      <c r="G661" s="48"/>
    </row>
    <row r="662" spans="3:7" ht="12.75">
      <c r="C662" s="49"/>
      <c r="G662" s="48"/>
    </row>
    <row r="663" spans="3:7" ht="12.75">
      <c r="C663" s="49"/>
      <c r="G663" s="48"/>
    </row>
    <row r="664" spans="3:7" ht="12.75">
      <c r="C664" s="49"/>
      <c r="G664" s="48"/>
    </row>
    <row r="665" spans="3:7" ht="12.75">
      <c r="C665" s="49"/>
      <c r="G665" s="48"/>
    </row>
    <row r="666" spans="3:7" ht="12.75">
      <c r="C666" s="49"/>
      <c r="G666" s="48"/>
    </row>
    <row r="667" spans="3:7" ht="12.75">
      <c r="C667" s="49"/>
      <c r="G667" s="48"/>
    </row>
    <row r="668" spans="3:7" ht="12.75">
      <c r="C668" s="49"/>
      <c r="G668" s="48"/>
    </row>
    <row r="669" spans="3:7" ht="12.75">
      <c r="C669" s="49"/>
      <c r="G669" s="48"/>
    </row>
    <row r="670" spans="3:7" ht="12.75">
      <c r="C670" s="49"/>
      <c r="G670" s="48"/>
    </row>
    <row r="671" spans="3:7" ht="12.75">
      <c r="C671" s="49"/>
      <c r="G671" s="48"/>
    </row>
    <row r="672" spans="3:7" ht="12.75">
      <c r="C672" s="49"/>
      <c r="G672" s="48"/>
    </row>
    <row r="673" spans="3:7" ht="12.75">
      <c r="C673" s="49"/>
      <c r="G673" s="48"/>
    </row>
    <row r="674" spans="3:7" ht="12.75">
      <c r="C674" s="49"/>
      <c r="G674" s="48"/>
    </row>
    <row r="675" spans="3:7" ht="12.75">
      <c r="C675" s="49"/>
      <c r="G675" s="48"/>
    </row>
    <row r="676" spans="3:7" ht="12.75">
      <c r="C676" s="49"/>
      <c r="G676" s="48"/>
    </row>
    <row r="677" spans="3:7" ht="12.75">
      <c r="C677" s="49"/>
      <c r="G677" s="48"/>
    </row>
    <row r="678" spans="3:7" ht="12.75">
      <c r="C678" s="49"/>
      <c r="G678" s="48"/>
    </row>
    <row r="679" spans="3:7" ht="12.75">
      <c r="C679" s="49"/>
      <c r="G679" s="48"/>
    </row>
    <row r="680" spans="3:7" ht="12.75">
      <c r="C680" s="49"/>
      <c r="G680" s="48"/>
    </row>
    <row r="681" spans="3:7" ht="12.75">
      <c r="C681" s="49"/>
      <c r="G681" s="48"/>
    </row>
    <row r="682" spans="3:7" ht="12.75">
      <c r="C682" s="49"/>
      <c r="G682" s="48"/>
    </row>
    <row r="683" spans="3:7" ht="12.75">
      <c r="C683" s="49"/>
      <c r="G683" s="48"/>
    </row>
    <row r="684" spans="3:7" ht="12.75">
      <c r="C684" s="49"/>
      <c r="G684" s="48"/>
    </row>
    <row r="685" spans="3:7" ht="12.75">
      <c r="C685" s="49"/>
      <c r="G685" s="48"/>
    </row>
    <row r="686" spans="3:7" ht="12.75">
      <c r="C686" s="49"/>
      <c r="G686" s="48"/>
    </row>
    <row r="687" spans="3:7" ht="12.75">
      <c r="C687" s="49"/>
      <c r="G687" s="48"/>
    </row>
    <row r="688" spans="3:7" ht="12.75">
      <c r="C688" s="49"/>
      <c r="G688" s="48"/>
    </row>
    <row r="689" spans="3:7" ht="12.75">
      <c r="C689" s="49"/>
      <c r="G689" s="48"/>
    </row>
    <row r="690" spans="3:7" ht="12.75">
      <c r="C690" s="49"/>
      <c r="G690" s="48"/>
    </row>
    <row r="691" spans="3:7" ht="12.75">
      <c r="C691" s="49"/>
      <c r="G691" s="48"/>
    </row>
    <row r="692" spans="3:7" ht="12.75">
      <c r="C692" s="49"/>
      <c r="G692" s="48"/>
    </row>
    <row r="693" spans="3:7" ht="12.75">
      <c r="C693" s="49"/>
      <c r="G693" s="48"/>
    </row>
    <row r="694" spans="3:7" ht="12.75">
      <c r="C694" s="49"/>
      <c r="G694" s="48"/>
    </row>
    <row r="695" spans="3:7" ht="12.75">
      <c r="C695" s="49"/>
      <c r="G695" s="48"/>
    </row>
    <row r="696" spans="3:7" ht="12.75">
      <c r="C696" s="49"/>
      <c r="G696" s="48"/>
    </row>
    <row r="697" spans="3:7" ht="12.75">
      <c r="C697" s="49"/>
      <c r="G697" s="48"/>
    </row>
    <row r="698" spans="3:7" ht="12.75">
      <c r="C698" s="49"/>
      <c r="G698" s="48"/>
    </row>
    <row r="699" spans="3:7" ht="12.75">
      <c r="C699" s="49"/>
      <c r="G699" s="48"/>
    </row>
    <row r="700" spans="3:7" ht="12.75">
      <c r="C700" s="49"/>
      <c r="G700" s="48"/>
    </row>
    <row r="701" spans="3:7" ht="12.75">
      <c r="C701" s="49"/>
      <c r="G701" s="48"/>
    </row>
    <row r="702" spans="3:7" ht="12.75">
      <c r="C702" s="49"/>
      <c r="G702" s="48"/>
    </row>
    <row r="703" spans="3:7" ht="12.75">
      <c r="C703" s="49"/>
      <c r="G703" s="48"/>
    </row>
    <row r="704" spans="3:7" ht="12.75">
      <c r="C704" s="49"/>
      <c r="G704" s="48"/>
    </row>
    <row r="705" spans="3:7" ht="12.75">
      <c r="C705" s="49"/>
      <c r="G705" s="48"/>
    </row>
    <row r="706" spans="3:7" ht="12.75">
      <c r="C706" s="49"/>
      <c r="G706" s="48"/>
    </row>
    <row r="707" spans="3:7" ht="12.75">
      <c r="C707" s="49"/>
      <c r="G707" s="48"/>
    </row>
    <row r="708" spans="3:7" ht="12.75">
      <c r="C708" s="49"/>
      <c r="G708" s="48"/>
    </row>
    <row r="709" spans="3:7" ht="12.75">
      <c r="C709" s="49"/>
      <c r="G709" s="48"/>
    </row>
    <row r="710" spans="3:7" ht="12.75">
      <c r="C710" s="49"/>
      <c r="G710" s="48"/>
    </row>
    <row r="711" spans="3:7" ht="12.75">
      <c r="C711" s="49"/>
      <c r="G711" s="48"/>
    </row>
    <row r="712" spans="3:7" ht="12.75">
      <c r="C712" s="49"/>
      <c r="G712" s="48"/>
    </row>
    <row r="713" spans="3:7" ht="12.75">
      <c r="C713" s="49"/>
      <c r="G713" s="48"/>
    </row>
    <row r="714" spans="3:7" ht="12.75">
      <c r="C714" s="49"/>
      <c r="G714" s="48"/>
    </row>
    <row r="715" spans="3:7" ht="12.75">
      <c r="C715" s="49"/>
      <c r="G715" s="48"/>
    </row>
    <row r="716" spans="3:7" ht="12.75">
      <c r="C716" s="49"/>
      <c r="G716" s="48"/>
    </row>
    <row r="717" spans="3:7" ht="12.75">
      <c r="C717" s="49"/>
      <c r="G717" s="48"/>
    </row>
    <row r="718" spans="3:7" ht="12.75">
      <c r="C718" s="49"/>
      <c r="G718" s="48"/>
    </row>
    <row r="719" spans="3:7" ht="12.75">
      <c r="C719" s="49"/>
      <c r="G719" s="48"/>
    </row>
    <row r="720" spans="3:7" ht="12.75">
      <c r="C720" s="49"/>
      <c r="G720" s="48"/>
    </row>
    <row r="721" spans="3:7" ht="12.75">
      <c r="C721" s="49"/>
      <c r="G721" s="48"/>
    </row>
    <row r="722" spans="3:7" ht="12.75">
      <c r="C722" s="49"/>
      <c r="G722" s="48"/>
    </row>
    <row r="723" spans="3:7" ht="12.75">
      <c r="C723" s="49"/>
      <c r="G723" s="48"/>
    </row>
    <row r="724" spans="3:7" ht="12.75">
      <c r="C724" s="49"/>
      <c r="G724" s="48"/>
    </row>
    <row r="725" spans="3:7" ht="12.75">
      <c r="C725" s="49"/>
      <c r="G725" s="48"/>
    </row>
    <row r="726" spans="3:7" ht="12.75">
      <c r="C726" s="49"/>
      <c r="G726" s="48"/>
    </row>
    <row r="727" spans="3:7" ht="12.75">
      <c r="C727" s="49"/>
      <c r="G727" s="48"/>
    </row>
    <row r="728" spans="3:7" ht="12.75">
      <c r="C728" s="49"/>
      <c r="G728" s="48"/>
    </row>
    <row r="729" spans="3:7" ht="12.75">
      <c r="C729" s="49"/>
      <c r="G729" s="48"/>
    </row>
    <row r="730" spans="3:7" ht="12.75">
      <c r="C730" s="49"/>
      <c r="G730" s="48"/>
    </row>
    <row r="731" spans="3:7" ht="12.75">
      <c r="C731" s="49"/>
      <c r="G731" s="48"/>
    </row>
    <row r="732" spans="3:7" ht="12.75">
      <c r="C732" s="49"/>
      <c r="G732" s="48"/>
    </row>
    <row r="733" spans="3:7" ht="12.75">
      <c r="C733" s="49"/>
      <c r="G733" s="48"/>
    </row>
    <row r="734" spans="3:7" ht="12.75">
      <c r="C734" s="49"/>
      <c r="G734" s="48"/>
    </row>
    <row r="735" spans="3:7" ht="12.75">
      <c r="C735" s="49"/>
      <c r="G735" s="48"/>
    </row>
    <row r="736" spans="3:7" ht="12.75">
      <c r="C736" s="49"/>
      <c r="G736" s="48"/>
    </row>
    <row r="737" spans="3:7" ht="12.75">
      <c r="C737" s="49"/>
      <c r="G737" s="48"/>
    </row>
    <row r="738" spans="3:7" ht="12.75">
      <c r="C738" s="49"/>
      <c r="G738" s="48"/>
    </row>
    <row r="739" spans="3:7" ht="12.75">
      <c r="C739" s="49"/>
      <c r="G739" s="48"/>
    </row>
    <row r="740" spans="3:7" ht="12.75">
      <c r="C740" s="49"/>
      <c r="G740" s="48"/>
    </row>
    <row r="741" spans="3:7" ht="12.75">
      <c r="C741" s="49"/>
      <c r="G741" s="48"/>
    </row>
    <row r="742" spans="3:7" ht="12.75">
      <c r="C742" s="49"/>
      <c r="G742" s="48"/>
    </row>
    <row r="743" spans="3:7" ht="12.75">
      <c r="C743" s="49"/>
      <c r="G743" s="48"/>
    </row>
    <row r="744" spans="3:7" ht="12.75">
      <c r="C744" s="49"/>
      <c r="G744" s="48"/>
    </row>
    <row r="745" spans="3:7" ht="12.75">
      <c r="C745" s="49"/>
      <c r="G745" s="48"/>
    </row>
    <row r="746" spans="3:7" ht="12.75">
      <c r="C746" s="49"/>
      <c r="G746" s="48"/>
    </row>
    <row r="747" spans="3:7" ht="12.75">
      <c r="C747" s="49"/>
      <c r="G747" s="48"/>
    </row>
    <row r="748" spans="3:7" ht="12.75">
      <c r="C748" s="49"/>
      <c r="G748" s="48"/>
    </row>
    <row r="749" spans="3:7" ht="12.75">
      <c r="C749" s="49"/>
      <c r="G749" s="48"/>
    </row>
    <row r="750" spans="3:7" ht="12.75">
      <c r="C750" s="49"/>
      <c r="G750" s="48"/>
    </row>
    <row r="751" spans="3:7" ht="12.75">
      <c r="C751" s="49"/>
      <c r="G751" s="48"/>
    </row>
    <row r="752" spans="3:7" ht="12.75">
      <c r="C752" s="49"/>
      <c r="G752" s="48"/>
    </row>
    <row r="753" spans="3:7" ht="12.75">
      <c r="C753" s="49"/>
      <c r="G753" s="48"/>
    </row>
    <row r="754" spans="3:7" ht="12.75">
      <c r="C754" s="49"/>
      <c r="G754" s="48"/>
    </row>
    <row r="755" spans="3:7" ht="12.75">
      <c r="C755" s="49"/>
      <c r="G755" s="48"/>
    </row>
    <row r="756" spans="3:7" ht="12.75">
      <c r="C756" s="49"/>
      <c r="G756" s="48"/>
    </row>
    <row r="757" spans="3:7" ht="12.75">
      <c r="C757" s="49"/>
      <c r="G757" s="48"/>
    </row>
    <row r="758" spans="3:7" ht="12.75">
      <c r="C758" s="49"/>
      <c r="G758" s="48"/>
    </row>
    <row r="759" spans="3:7" ht="12.75">
      <c r="C759" s="49"/>
      <c r="G759" s="48"/>
    </row>
    <row r="760" spans="3:7" ht="12.75">
      <c r="C760" s="49"/>
      <c r="G760" s="48"/>
    </row>
    <row r="761" spans="3:7" ht="12.75">
      <c r="C761" s="49"/>
      <c r="G761" s="48"/>
    </row>
    <row r="762" spans="3:7" ht="12.75">
      <c r="C762" s="49"/>
      <c r="G762" s="48"/>
    </row>
    <row r="763" spans="3:7" ht="12.75">
      <c r="C763" s="49"/>
      <c r="G763" s="48"/>
    </row>
    <row r="764" spans="3:7" ht="12.75">
      <c r="C764" s="49"/>
      <c r="G764" s="48"/>
    </row>
    <row r="765" spans="3:7" ht="12.75">
      <c r="C765" s="49"/>
      <c r="G765" s="48"/>
    </row>
    <row r="766" spans="3:7" ht="12.75">
      <c r="C766" s="49"/>
      <c r="G766" s="48"/>
    </row>
    <row r="767" spans="3:7" ht="12.75">
      <c r="C767" s="49"/>
      <c r="G767" s="48"/>
    </row>
    <row r="768" spans="3:7" ht="12.75">
      <c r="C768" s="49"/>
      <c r="G768" s="48"/>
    </row>
    <row r="769" spans="3:7" ht="12.75">
      <c r="C769" s="49"/>
      <c r="G769" s="48"/>
    </row>
    <row r="770" spans="3:7" ht="12.75">
      <c r="C770" s="49"/>
      <c r="G770" s="48"/>
    </row>
    <row r="771" spans="3:7" ht="12.75">
      <c r="C771" s="49"/>
      <c r="G771" s="48"/>
    </row>
    <row r="772" spans="3:7" ht="12.75">
      <c r="C772" s="49"/>
      <c r="G772" s="48"/>
    </row>
    <row r="773" spans="3:7" ht="12.75">
      <c r="C773" s="49"/>
      <c r="G773" s="48"/>
    </row>
    <row r="774" spans="3:7" ht="12.75">
      <c r="C774" s="49"/>
      <c r="G774" s="48"/>
    </row>
    <row r="775" spans="3:7" ht="12.75">
      <c r="C775" s="49"/>
      <c r="G775" s="48"/>
    </row>
    <row r="776" spans="3:7" ht="12.75">
      <c r="C776" s="49"/>
      <c r="G776" s="48"/>
    </row>
    <row r="777" spans="3:7" ht="12.75">
      <c r="C777" s="49"/>
      <c r="G777" s="48"/>
    </row>
    <row r="778" spans="3:7" ht="12.75">
      <c r="C778" s="49"/>
      <c r="G778" s="48"/>
    </row>
    <row r="779" spans="3:7" ht="12.75">
      <c r="C779" s="49"/>
      <c r="G779" s="48"/>
    </row>
    <row r="780" spans="3:7" ht="12.75">
      <c r="C780" s="49"/>
      <c r="G780" s="48"/>
    </row>
    <row r="781" spans="3:7" ht="12.75">
      <c r="C781" s="49"/>
      <c r="G781" s="48"/>
    </row>
    <row r="782" spans="3:7" ht="12.75">
      <c r="C782" s="49"/>
      <c r="G782" s="48"/>
    </row>
    <row r="783" spans="3:7" ht="12.75">
      <c r="C783" s="49"/>
      <c r="G783" s="48"/>
    </row>
    <row r="784" spans="3:7" ht="12.75">
      <c r="C784" s="49"/>
      <c r="G784" s="48"/>
    </row>
    <row r="785" spans="3:7" ht="12.75">
      <c r="C785" s="49"/>
      <c r="G785" s="48"/>
    </row>
    <row r="786" spans="3:7" ht="12.75">
      <c r="C786" s="49"/>
      <c r="G786" s="48"/>
    </row>
    <row r="787" spans="3:7" ht="12.75">
      <c r="C787" s="49"/>
      <c r="G787" s="48"/>
    </row>
    <row r="788" spans="3:7" ht="12.75">
      <c r="C788" s="49"/>
      <c r="G788" s="48"/>
    </row>
    <row r="789" spans="3:7" ht="12.75">
      <c r="C789" s="49"/>
      <c r="G789" s="48"/>
    </row>
    <row r="790" spans="3:7" ht="12.75">
      <c r="C790" s="49"/>
      <c r="G790" s="48"/>
    </row>
    <row r="791" spans="3:7" ht="12.75">
      <c r="C791" s="49"/>
      <c r="G791" s="48"/>
    </row>
    <row r="792" spans="3:7" ht="12.75">
      <c r="C792" s="49"/>
      <c r="G792" s="48"/>
    </row>
    <row r="793" spans="3:7" ht="12.75">
      <c r="C793" s="49"/>
      <c r="G793" s="48"/>
    </row>
    <row r="794" spans="3:7" ht="12.75">
      <c r="C794" s="49"/>
      <c r="G794" s="48"/>
    </row>
    <row r="795" spans="3:7" ht="12.75">
      <c r="C795" s="49"/>
      <c r="G795" s="48"/>
    </row>
    <row r="796" spans="3:7" ht="12.75">
      <c r="C796" s="49"/>
      <c r="G796" s="48"/>
    </row>
    <row r="797" spans="3:7" ht="12.75">
      <c r="C797" s="49"/>
      <c r="G797" s="48"/>
    </row>
    <row r="798" spans="3:7" ht="12.75">
      <c r="C798" s="49"/>
      <c r="G798" s="48"/>
    </row>
    <row r="799" spans="3:7" ht="12.75">
      <c r="C799" s="49"/>
      <c r="G799" s="48"/>
    </row>
    <row r="800" spans="3:7" ht="12.75">
      <c r="C800" s="49"/>
      <c r="G800" s="48"/>
    </row>
    <row r="801" spans="3:7" ht="12.75">
      <c r="C801" s="49"/>
      <c r="G801" s="48"/>
    </row>
    <row r="802" spans="3:7" ht="12.75">
      <c r="C802" s="49"/>
      <c r="G802" s="48"/>
    </row>
    <row r="803" spans="3:7" ht="12.75">
      <c r="C803" s="49"/>
      <c r="G803" s="48"/>
    </row>
    <row r="804" spans="3:7" ht="12.75">
      <c r="C804" s="49"/>
      <c r="G804" s="48"/>
    </row>
    <row r="805" spans="3:7" ht="12.75">
      <c r="C805" s="49"/>
      <c r="G805" s="48"/>
    </row>
    <row r="806" spans="3:7" ht="12.75">
      <c r="C806" s="49"/>
      <c r="G806" s="48"/>
    </row>
    <row r="807" spans="3:7" ht="12.75">
      <c r="C807" s="49"/>
      <c r="G807" s="48"/>
    </row>
    <row r="808" spans="3:7" ht="12.75">
      <c r="C808" s="49"/>
      <c r="G808" s="48"/>
    </row>
    <row r="809" spans="3:7" ht="12.75">
      <c r="C809" s="49"/>
      <c r="G809" s="48"/>
    </row>
    <row r="810" spans="3:7" ht="12.75">
      <c r="C810" s="49"/>
      <c r="G810" s="48"/>
    </row>
    <row r="811" spans="3:7" ht="12.75">
      <c r="C811" s="49"/>
      <c r="G811" s="48"/>
    </row>
    <row r="812" spans="3:7" ht="12.75">
      <c r="C812" s="49"/>
      <c r="G812" s="48"/>
    </row>
    <row r="813" spans="3:7" ht="12.75">
      <c r="C813" s="49"/>
      <c r="G813" s="48"/>
    </row>
    <row r="814" spans="3:7" ht="12.75">
      <c r="C814" s="49"/>
      <c r="G814" s="48"/>
    </row>
    <row r="815" spans="3:7" ht="12.75">
      <c r="C815" s="49"/>
      <c r="G815" s="48"/>
    </row>
    <row r="816" spans="3:7" ht="12.75">
      <c r="C816" s="49"/>
      <c r="G816" s="48"/>
    </row>
    <row r="817" spans="3:7" ht="12.75">
      <c r="C817" s="49"/>
      <c r="G817" s="48"/>
    </row>
    <row r="818" spans="3:7" ht="12.75">
      <c r="C818" s="49"/>
      <c r="G818" s="48"/>
    </row>
    <row r="819" spans="3:7" ht="12.75">
      <c r="C819" s="49"/>
      <c r="G819" s="48"/>
    </row>
    <row r="820" spans="3:7" ht="12.75">
      <c r="C820" s="49"/>
      <c r="G820" s="48"/>
    </row>
    <row r="821" spans="3:7" ht="12.75">
      <c r="C821" s="49"/>
      <c r="G821" s="48"/>
    </row>
    <row r="822" spans="3:7" ht="12.75">
      <c r="C822" s="49"/>
      <c r="G822" s="48"/>
    </row>
    <row r="823" spans="3:7" ht="12.75">
      <c r="C823" s="49"/>
      <c r="G823" s="48"/>
    </row>
    <row r="824" spans="3:7" ht="12.75">
      <c r="C824" s="49"/>
      <c r="G824" s="48"/>
    </row>
    <row r="825" spans="3:7" ht="12.75">
      <c r="C825" s="49"/>
      <c r="G825" s="48"/>
    </row>
    <row r="826" spans="3:7" ht="12.75">
      <c r="C826" s="49"/>
      <c r="G826" s="48"/>
    </row>
    <row r="827" spans="3:7" ht="12.75">
      <c r="C827" s="49"/>
      <c r="G827" s="48"/>
    </row>
    <row r="828" spans="3:7" ht="12.75">
      <c r="C828" s="49"/>
      <c r="G828" s="48"/>
    </row>
    <row r="829" spans="3:7" ht="12.75">
      <c r="C829" s="49"/>
      <c r="G829" s="48"/>
    </row>
    <row r="830" spans="3:7" ht="12.75">
      <c r="C830" s="49"/>
      <c r="G830" s="48"/>
    </row>
    <row r="831" spans="3:7" ht="12.75">
      <c r="C831" s="49"/>
      <c r="G831" s="48"/>
    </row>
    <row r="832" spans="3:7" ht="12.75">
      <c r="C832" s="49"/>
      <c r="G832" s="48"/>
    </row>
    <row r="833" spans="3:7" ht="12.75">
      <c r="C833" s="49"/>
      <c r="G833" s="48"/>
    </row>
    <row r="834" spans="3:7" ht="12.75">
      <c r="C834" s="49"/>
      <c r="G834" s="48"/>
    </row>
    <row r="835" spans="3:7" ht="12.75">
      <c r="C835" s="49"/>
      <c r="G835" s="48"/>
    </row>
    <row r="836" spans="3:7" ht="12.75">
      <c r="C836" s="49"/>
      <c r="G836" s="48"/>
    </row>
    <row r="837" spans="3:7" ht="12.75">
      <c r="C837" s="49"/>
      <c r="G837" s="48"/>
    </row>
    <row r="838" spans="3:7" ht="12.75">
      <c r="C838" s="49"/>
      <c r="G838" s="48"/>
    </row>
    <row r="839" spans="3:7" ht="12.75">
      <c r="C839" s="49"/>
      <c r="G839" s="48"/>
    </row>
    <row r="840" spans="3:7" ht="12.75">
      <c r="C840" s="49"/>
      <c r="G840" s="48"/>
    </row>
    <row r="841" spans="3:7" ht="12.75">
      <c r="C841" s="49"/>
      <c r="G841" s="48"/>
    </row>
    <row r="842" spans="3:7" ht="12.75">
      <c r="C842" s="49"/>
      <c r="G842" s="48"/>
    </row>
    <row r="843" spans="3:7" ht="12.75">
      <c r="C843" s="49"/>
      <c r="G843" s="48"/>
    </row>
    <row r="844" spans="3:7" ht="12.75">
      <c r="C844" s="49"/>
      <c r="G844" s="48"/>
    </row>
    <row r="845" spans="3:7" ht="12.75">
      <c r="C845" s="49"/>
      <c r="G845" s="48"/>
    </row>
    <row r="846" spans="3:7" ht="12.75">
      <c r="C846" s="49"/>
      <c r="G846" s="48"/>
    </row>
    <row r="847" spans="3:7" ht="12.75">
      <c r="C847" s="49"/>
      <c r="G847" s="48"/>
    </row>
    <row r="848" spans="3:7" ht="12.75">
      <c r="C848" s="49"/>
      <c r="G848" s="48"/>
    </row>
    <row r="849" spans="3:7" ht="12.75">
      <c r="C849" s="49"/>
      <c r="G849" s="48"/>
    </row>
    <row r="850" spans="3:7" ht="12.75">
      <c r="C850" s="49"/>
      <c r="G850" s="48"/>
    </row>
    <row r="851" spans="3:7" ht="12.75">
      <c r="C851" s="49"/>
      <c r="G851" s="48"/>
    </row>
    <row r="852" spans="3:7" ht="12.75">
      <c r="C852" s="49"/>
      <c r="G852" s="48"/>
    </row>
    <row r="853" spans="3:7" ht="12.75">
      <c r="C853" s="49"/>
      <c r="G853" s="48"/>
    </row>
    <row r="854" spans="3:7" ht="12.75">
      <c r="C854" s="49"/>
      <c r="G854" s="48"/>
    </row>
    <row r="855" spans="3:7" ht="12.75">
      <c r="C855" s="49"/>
      <c r="G855" s="48"/>
    </row>
    <row r="856" spans="3:7" ht="12.75">
      <c r="C856" s="49"/>
      <c r="G856" s="48"/>
    </row>
    <row r="857" spans="3:7" ht="12.75">
      <c r="C857" s="49"/>
      <c r="G857" s="48"/>
    </row>
    <row r="858" spans="3:7" ht="12.75">
      <c r="C858" s="49"/>
      <c r="G858" s="48"/>
    </row>
    <row r="859" spans="3:7" ht="12.75">
      <c r="C859" s="49"/>
      <c r="G859" s="48"/>
    </row>
    <row r="860" spans="3:7" ht="12.75">
      <c r="C860" s="49"/>
      <c r="G860" s="48"/>
    </row>
    <row r="861" spans="3:7" ht="12.75">
      <c r="C861" s="49"/>
      <c r="G861" s="48"/>
    </row>
    <row r="862" spans="3:7" ht="12.75">
      <c r="C862" s="49"/>
      <c r="G862" s="48"/>
    </row>
    <row r="863" spans="3:7" ht="12.75">
      <c r="C863" s="49"/>
      <c r="G863" s="48"/>
    </row>
    <row r="864" spans="3:7" ht="12.75">
      <c r="C864" s="49"/>
      <c r="G864" s="48"/>
    </row>
    <row r="865" spans="3:7" ht="12.75">
      <c r="C865" s="49"/>
      <c r="G865" s="48"/>
    </row>
    <row r="866" spans="3:7" ht="12.75">
      <c r="C866" s="49"/>
      <c r="G866" s="48"/>
    </row>
    <row r="867" spans="3:7" ht="12.75">
      <c r="C867" s="49"/>
      <c r="G867" s="48"/>
    </row>
    <row r="868" spans="3:7" ht="12.75">
      <c r="C868" s="49"/>
      <c r="G868" s="48"/>
    </row>
    <row r="869" spans="3:7" ht="12.75">
      <c r="C869" s="49"/>
      <c r="G869" s="48"/>
    </row>
    <row r="870" spans="3:7" ht="12.75">
      <c r="C870" s="49"/>
      <c r="G870" s="48"/>
    </row>
    <row r="871" spans="3:7" ht="12.75">
      <c r="C871" s="49"/>
      <c r="G871" s="48"/>
    </row>
    <row r="872" spans="3:7" ht="12.75">
      <c r="C872" s="49"/>
      <c r="G872" s="48"/>
    </row>
    <row r="873" spans="3:7" ht="12.75">
      <c r="C873" s="49"/>
      <c r="G873" s="48"/>
    </row>
    <row r="874" spans="3:7" ht="12.75">
      <c r="C874" s="49"/>
      <c r="G874" s="48"/>
    </row>
    <row r="875" spans="3:7" ht="12.75">
      <c r="C875" s="49"/>
      <c r="G875" s="48"/>
    </row>
    <row r="876" spans="3:7" ht="12.75">
      <c r="C876" s="49"/>
      <c r="G876" s="48"/>
    </row>
    <row r="877" spans="3:7" ht="12.75">
      <c r="C877" s="49"/>
      <c r="G877" s="48"/>
    </row>
    <row r="878" spans="3:7" ht="12.75">
      <c r="C878" s="49"/>
      <c r="G878" s="48"/>
    </row>
    <row r="879" spans="3:7" ht="12.75">
      <c r="C879" s="49"/>
      <c r="G879" s="48"/>
    </row>
    <row r="880" spans="3:7" ht="12.75">
      <c r="C880" s="49"/>
      <c r="G880" s="48"/>
    </row>
    <row r="881" spans="3:7" ht="12.75">
      <c r="C881" s="49"/>
      <c r="G881" s="48"/>
    </row>
    <row r="882" spans="3:7" ht="12.75">
      <c r="C882" s="49"/>
      <c r="G882" s="48"/>
    </row>
    <row r="883" spans="3:7" ht="12.75">
      <c r="C883" s="49"/>
      <c r="G883" s="48"/>
    </row>
    <row r="884" spans="3:7" ht="12.75">
      <c r="C884" s="49"/>
      <c r="G884" s="48"/>
    </row>
    <row r="885" spans="3:7" ht="12.75">
      <c r="C885" s="49"/>
      <c r="G885" s="48"/>
    </row>
    <row r="886" spans="3:7" ht="12.75">
      <c r="C886" s="49"/>
      <c r="G886" s="48"/>
    </row>
    <row r="887" spans="3:7" ht="12.75">
      <c r="C887" s="49"/>
      <c r="G887" s="48"/>
    </row>
    <row r="888" spans="3:7" ht="12.75">
      <c r="C888" s="49"/>
      <c r="G888" s="48"/>
    </row>
    <row r="889" spans="3:7" ht="12.75">
      <c r="C889" s="49"/>
      <c r="G889" s="48"/>
    </row>
    <row r="890" spans="3:7" ht="12.75">
      <c r="C890" s="49"/>
      <c r="G890" s="48"/>
    </row>
    <row r="891" spans="3:7" ht="12.75">
      <c r="C891" s="49"/>
      <c r="G891" s="48"/>
    </row>
    <row r="892" spans="3:7" ht="12.75">
      <c r="C892" s="49"/>
      <c r="G892" s="48"/>
    </row>
    <row r="893" spans="3:7" ht="12.75">
      <c r="C893" s="49"/>
      <c r="G893" s="48"/>
    </row>
    <row r="894" spans="3:7" ht="12.75">
      <c r="C894" s="49"/>
      <c r="G894" s="48"/>
    </row>
    <row r="895" spans="3:7" ht="12.75">
      <c r="C895" s="49"/>
      <c r="G895" s="48"/>
    </row>
    <row r="896" spans="3:7" ht="12.75">
      <c r="C896" s="49"/>
      <c r="G896" s="48"/>
    </row>
    <row r="897" spans="3:7" ht="12.75">
      <c r="C897" s="49"/>
      <c r="G897" s="48"/>
    </row>
    <row r="898" spans="3:7" ht="12.75">
      <c r="C898" s="49"/>
      <c r="G898" s="48"/>
    </row>
    <row r="899" spans="3:7" ht="12.75">
      <c r="C899" s="49"/>
      <c r="G899" s="48"/>
    </row>
    <row r="900" spans="3:7" ht="12.75">
      <c r="C900" s="49"/>
      <c r="G900" s="48"/>
    </row>
    <row r="901" spans="3:7" ht="12.75">
      <c r="C901" s="49"/>
      <c r="G901" s="48"/>
    </row>
    <row r="902" spans="3:7" ht="12.75">
      <c r="C902" s="49"/>
      <c r="G902" s="48"/>
    </row>
    <row r="903" spans="3:7" ht="12.75">
      <c r="C903" s="49"/>
      <c r="G903" s="48"/>
    </row>
    <row r="904" spans="3:7" ht="12.75">
      <c r="C904" s="49"/>
      <c r="G904" s="48"/>
    </row>
    <row r="905" spans="3:7" ht="12.75">
      <c r="C905" s="49"/>
      <c r="G905" s="48"/>
    </row>
    <row r="906" spans="3:7" ht="12.75">
      <c r="C906" s="49"/>
      <c r="G906" s="48"/>
    </row>
    <row r="907" spans="3:7" ht="12.75">
      <c r="C907" s="49"/>
      <c r="G907" s="48"/>
    </row>
    <row r="908" spans="3:7" ht="12.75">
      <c r="C908" s="49"/>
      <c r="G908" s="48"/>
    </row>
    <row r="909" spans="3:7" ht="12.75">
      <c r="C909" s="49"/>
      <c r="G909" s="48"/>
    </row>
    <row r="910" spans="3:7" ht="12.75">
      <c r="C910" s="49"/>
      <c r="G910" s="48"/>
    </row>
    <row r="911" spans="3:7" ht="12.75">
      <c r="C911" s="49"/>
      <c r="G911" s="48"/>
    </row>
    <row r="912" spans="3:7" ht="12.75">
      <c r="C912" s="49"/>
      <c r="G912" s="48"/>
    </row>
    <row r="913" spans="3:7" ht="12.75">
      <c r="C913" s="49"/>
      <c r="G913" s="48"/>
    </row>
    <row r="914" spans="3:7" ht="12.75">
      <c r="C914" s="49"/>
      <c r="G914" s="48"/>
    </row>
    <row r="915" spans="3:7" ht="12.75">
      <c r="C915" s="49"/>
      <c r="G915" s="48"/>
    </row>
    <row r="916" spans="3:7" ht="12.75">
      <c r="C916" s="49"/>
      <c r="G916" s="48"/>
    </row>
    <row r="917" spans="3:7" ht="12.75">
      <c r="C917" s="49"/>
      <c r="G917" s="48"/>
    </row>
    <row r="918" spans="3:7" ht="12.75">
      <c r="C918" s="49"/>
      <c r="G918" s="48"/>
    </row>
    <row r="919" spans="3:7" ht="12.75">
      <c r="C919" s="49"/>
      <c r="G919" s="48"/>
    </row>
    <row r="920" spans="3:7" ht="12.75">
      <c r="C920" s="49"/>
      <c r="G920" s="48"/>
    </row>
    <row r="921" spans="3:7" ht="12.75">
      <c r="C921" s="49"/>
      <c r="G921" s="48"/>
    </row>
    <row r="922" spans="3:7" ht="12.75">
      <c r="C922" s="49"/>
      <c r="G922" s="48"/>
    </row>
    <row r="923" spans="3:7" ht="12.75">
      <c r="C923" s="49"/>
      <c r="G923" s="48"/>
    </row>
    <row r="924" spans="3:7" ht="12.75">
      <c r="C924" s="49"/>
      <c r="G924" s="48"/>
    </row>
    <row r="925" spans="3:7" ht="12.75">
      <c r="C925" s="49"/>
      <c r="G925" s="48"/>
    </row>
    <row r="926" spans="3:7" ht="12.75">
      <c r="C926" s="49"/>
      <c r="G926" s="48"/>
    </row>
    <row r="927" spans="3:7" ht="12.75">
      <c r="C927" s="49"/>
      <c r="G927" s="48"/>
    </row>
    <row r="928" spans="3:7" ht="12.75">
      <c r="C928" s="49"/>
      <c r="G928" s="48"/>
    </row>
    <row r="929" spans="3:7" ht="12.75">
      <c r="C929" s="49"/>
      <c r="G929" s="48"/>
    </row>
    <row r="930" spans="3:7" ht="12.75">
      <c r="C930" s="49"/>
      <c r="G930" s="48"/>
    </row>
    <row r="931" spans="3:7" ht="12.75">
      <c r="C931" s="49"/>
      <c r="G931" s="48"/>
    </row>
    <row r="932" spans="3:7" ht="12.75">
      <c r="C932" s="49"/>
      <c r="G932" s="48"/>
    </row>
    <row r="933" spans="3:7" ht="12.75">
      <c r="C933" s="49"/>
      <c r="G933" s="48"/>
    </row>
    <row r="934" spans="3:7" ht="12.75">
      <c r="C934" s="49"/>
      <c r="G934" s="48"/>
    </row>
    <row r="935" spans="3:7" ht="12.75">
      <c r="C935" s="49"/>
      <c r="G935" s="48"/>
    </row>
    <row r="936" spans="3:7" ht="12.75">
      <c r="C936" s="49"/>
      <c r="G936" s="48"/>
    </row>
    <row r="937" spans="3:7" ht="12.75">
      <c r="C937" s="49"/>
      <c r="G937" s="48"/>
    </row>
    <row r="938" spans="3:7" ht="12.75">
      <c r="C938" s="49"/>
      <c r="G938" s="48"/>
    </row>
    <row r="939" spans="3:7" ht="12.75">
      <c r="C939" s="49"/>
      <c r="G939" s="48"/>
    </row>
    <row r="940" spans="3:7" ht="12.75">
      <c r="C940" s="49"/>
      <c r="G940" s="48"/>
    </row>
    <row r="941" spans="3:7" ht="12.75">
      <c r="C941" s="49"/>
      <c r="G941" s="48"/>
    </row>
    <row r="942" spans="3:7" ht="12.75">
      <c r="C942" s="49"/>
      <c r="G942" s="48"/>
    </row>
    <row r="943" spans="3:7" ht="12.75">
      <c r="C943" s="49"/>
      <c r="G943" s="48"/>
    </row>
    <row r="944" spans="3:7" ht="12.75">
      <c r="C944" s="49"/>
      <c r="G944" s="48"/>
    </row>
    <row r="945" spans="3:7" ht="12.75">
      <c r="C945" s="49"/>
      <c r="G945" s="48"/>
    </row>
    <row r="946" spans="3:7" ht="12.75">
      <c r="C946" s="49"/>
      <c r="G946" s="48"/>
    </row>
    <row r="947" spans="3:7" ht="12.75">
      <c r="C947" s="49"/>
      <c r="G947" s="48"/>
    </row>
    <row r="948" spans="3:7" ht="12.75">
      <c r="C948" s="49"/>
      <c r="G948" s="48"/>
    </row>
    <row r="949" spans="3:7" ht="12.75">
      <c r="C949" s="49"/>
      <c r="G949" s="48"/>
    </row>
    <row r="950" spans="3:7" ht="12.75">
      <c r="C950" s="49"/>
      <c r="G950" s="48"/>
    </row>
    <row r="951" spans="3:7" ht="12.75">
      <c r="C951" s="49"/>
      <c r="G951" s="48"/>
    </row>
    <row r="952" spans="3:7" ht="12.75">
      <c r="C952" s="49"/>
      <c r="G952" s="48"/>
    </row>
    <row r="953" spans="3:7" ht="12.75">
      <c r="C953" s="49"/>
      <c r="G953" s="48"/>
    </row>
    <row r="954" spans="3:7" ht="12.75">
      <c r="C954" s="49"/>
      <c r="G954" s="48"/>
    </row>
    <row r="955" spans="3:7" ht="12.75">
      <c r="C955" s="49"/>
      <c r="G955" s="48"/>
    </row>
    <row r="956" spans="3:7" ht="12.75">
      <c r="C956" s="49"/>
      <c r="G956" s="48"/>
    </row>
    <row r="957" spans="3:7" ht="12.75">
      <c r="C957" s="49"/>
      <c r="G957" s="48"/>
    </row>
    <row r="958" spans="3:7" ht="12.75">
      <c r="C958" s="49"/>
      <c r="G958" s="48"/>
    </row>
    <row r="959" spans="3:7" ht="12.75">
      <c r="C959" s="49"/>
      <c r="G959" s="48"/>
    </row>
    <row r="960" spans="3:7" ht="12.75">
      <c r="C960" s="49"/>
      <c r="G960" s="48"/>
    </row>
    <row r="961" spans="3:7" ht="12.75">
      <c r="C961" s="49"/>
      <c r="G961" s="48"/>
    </row>
    <row r="962" spans="3:7" ht="12.75">
      <c r="C962" s="49"/>
      <c r="G962" s="48"/>
    </row>
  </sheetData>
  <customSheetViews>
    <customSheetView guid="{D1832A16-45F5-4C29-9E40-C8C1A3178F5A}" filter="1" showAutoFilter="1">
      <pageMargins left="0.7" right="0.7" top="0.75" bottom="0.75" header="0.3" footer="0.3"/>
      <autoFilter ref="A1:H34"/>
    </customSheetView>
  </customSheetViews>
  <pageMargins left="0.7" right="0.7" top="0.75" bottom="0.75" header="0.3" footer="0.3"/>
  <pageSetup orientation="portrait" r:id="rId1"/>
  <headerFooter differentOddEven="1" differentFirs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27</vt:i4>
      </vt:variant>
    </vt:vector>
  </HeadingPairs>
  <TitlesOfParts>
    <vt:vector size="30" baseType="lpstr">
      <vt:lpstr>Final Draft Questionnaire</vt:lpstr>
      <vt:lpstr>Final Draft Questionnaire FR</vt:lpstr>
      <vt:lpstr>Final MASTER SCORE</vt:lpstr>
      <vt:lpstr>FROPTcontroldata</vt:lpstr>
      <vt:lpstr>FROPTduration</vt:lpstr>
      <vt:lpstr>FROPTimpact</vt:lpstr>
      <vt:lpstr>FROPTreversible</vt:lpstr>
      <vt:lpstr>FROPTsecurityclass</vt:lpstr>
      <vt:lpstr>FROPTsourcedata</vt:lpstr>
      <vt:lpstr>FROPTunstructdata</vt:lpstr>
      <vt:lpstr>OPTcontroldata</vt:lpstr>
      <vt:lpstr>OPTduration</vt:lpstr>
      <vt:lpstr>OPTimpact</vt:lpstr>
      <vt:lpstr>OPTreversible</vt:lpstr>
      <vt:lpstr>OPTsecurityclass</vt:lpstr>
      <vt:lpstr>OPTsourcedata</vt:lpstr>
      <vt:lpstr>OPTunstructdata</vt:lpstr>
      <vt:lpstr>PNTcontroldata</vt:lpstr>
      <vt:lpstr>PNTduration</vt:lpstr>
      <vt:lpstr>PNTimpact</vt:lpstr>
      <vt:lpstr>PNTmaxMitigation</vt:lpstr>
      <vt:lpstr>PNTreversible</vt:lpstr>
      <vt:lpstr>PNTsecurityclass</vt:lpstr>
      <vt:lpstr>PNTsourcedata</vt:lpstr>
      <vt:lpstr>PNTthresholdMitigation</vt:lpstr>
      <vt:lpstr>PNTunstructdata</vt:lpstr>
      <vt:lpstr>PNTYes1</vt:lpstr>
      <vt:lpstr>PNTYes2</vt:lpstr>
      <vt:lpstr>PNTYes3</vt:lpstr>
      <vt:lpstr>PNTYes4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Charest, Guillaume</dc:creator>
  <cp:lastModifiedBy>Thompson, Ross</cp:lastModifiedBy>
  <dcterms:created xsi:type="dcterms:W3CDTF">2019-03-13T19:48:46Z</dcterms:created>
  <dcterms:modified xsi:type="dcterms:W3CDTF">2019-03-14T13:57:06Z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9b391e97-b877-4f31-a66a-8944e2d71ea4</vt:lpwstr>
  </property>
  <property fmtid="{D5CDD505-2E9C-101B-9397-08002B2CF9AE}" pid="3" name="SECCLASS">
    <vt:lpwstr>CLASSU</vt:lpwstr>
  </property>
  <property fmtid="{D5CDD505-2E9C-101B-9397-08002B2CF9AE}" pid="4" name="TBSSCTCLASSIFICATION">
    <vt:lpwstr>UNCLASSIFIED</vt:lpwstr>
  </property>
  <property fmtid="{D5CDD505-2E9C-101B-9397-08002B2CF9AE}" pid="5" name="TBSSCTVISUALMARKINGNO">
    <vt:lpwstr>NO</vt:lpwstr>
  </property>
</Properties>
</file>